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Y\lottonew\"/>
    </mc:Choice>
  </mc:AlternateContent>
  <xr:revisionPtr revIDLastSave="0" documentId="13_ncr:1_{8F90C348-EA82-452F-9FAC-F188D77E4BFE}" xr6:coauthVersionLast="47" xr6:coauthVersionMax="47" xr10:uidLastSave="{00000000-0000-0000-0000-000000000000}"/>
  <bookViews>
    <workbookView xWindow="-120" yWindow="-120" windowWidth="27870" windowHeight="16440" activeTab="3" xr2:uid="{9BE444F3-DEC3-4171-B60C-5D1A66E859CF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Sheet3!$A$1:$L$1</definedName>
    <definedName name="_xlnm._FilterDatabase" localSheetId="3" hidden="1">Sheet4!$J$1:$P$46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6" i="4" l="1"/>
  <c r="K3" i="4"/>
  <c r="L3" i="4"/>
  <c r="M3" i="4"/>
  <c r="N3" i="4"/>
  <c r="O3" i="4"/>
  <c r="K4" i="4"/>
  <c r="L4" i="4"/>
  <c r="M4" i="4"/>
  <c r="N4" i="4"/>
  <c r="O4" i="4"/>
  <c r="K5" i="4"/>
  <c r="L5" i="4"/>
  <c r="M5" i="4"/>
  <c r="N5" i="4"/>
  <c r="O5" i="4"/>
  <c r="K6" i="4"/>
  <c r="L6" i="4"/>
  <c r="M6" i="4"/>
  <c r="N6" i="4"/>
  <c r="O6" i="4"/>
  <c r="K7" i="4"/>
  <c r="L7" i="4"/>
  <c r="M7" i="4"/>
  <c r="N7" i="4"/>
  <c r="O7" i="4"/>
  <c r="K8" i="4"/>
  <c r="L8" i="4"/>
  <c r="M8" i="4"/>
  <c r="N8" i="4"/>
  <c r="O8" i="4"/>
  <c r="K9" i="4"/>
  <c r="L9" i="4"/>
  <c r="M9" i="4"/>
  <c r="N9" i="4"/>
  <c r="O9" i="4"/>
  <c r="K10" i="4"/>
  <c r="L10" i="4"/>
  <c r="M10" i="4"/>
  <c r="N10" i="4"/>
  <c r="O10" i="4"/>
  <c r="K11" i="4"/>
  <c r="L11" i="4"/>
  <c r="M11" i="4"/>
  <c r="N11" i="4"/>
  <c r="O11" i="4"/>
  <c r="K12" i="4"/>
  <c r="L12" i="4"/>
  <c r="M12" i="4"/>
  <c r="N12" i="4"/>
  <c r="O12" i="4"/>
  <c r="K13" i="4"/>
  <c r="L13" i="4"/>
  <c r="M13" i="4"/>
  <c r="N13" i="4"/>
  <c r="O13" i="4"/>
  <c r="K14" i="4"/>
  <c r="P14" i="4" s="1"/>
  <c r="L14" i="4"/>
  <c r="M14" i="4"/>
  <c r="N14" i="4"/>
  <c r="O14" i="4"/>
  <c r="K15" i="4"/>
  <c r="L15" i="4"/>
  <c r="M15" i="4"/>
  <c r="N15" i="4"/>
  <c r="O15" i="4"/>
  <c r="K16" i="4"/>
  <c r="L16" i="4"/>
  <c r="M16" i="4"/>
  <c r="N16" i="4"/>
  <c r="O16" i="4"/>
  <c r="K17" i="4"/>
  <c r="P17" i="4" s="1"/>
  <c r="L17" i="4"/>
  <c r="M17" i="4"/>
  <c r="N17" i="4"/>
  <c r="O17" i="4"/>
  <c r="K18" i="4"/>
  <c r="L18" i="4"/>
  <c r="M18" i="4"/>
  <c r="P18" i="4" s="1"/>
  <c r="N18" i="4"/>
  <c r="O18" i="4"/>
  <c r="K19" i="4"/>
  <c r="L19" i="4"/>
  <c r="M19" i="4"/>
  <c r="N19" i="4"/>
  <c r="O19" i="4"/>
  <c r="K20" i="4"/>
  <c r="P20" i="4" s="1"/>
  <c r="L20" i="4"/>
  <c r="M20" i="4"/>
  <c r="N20" i="4"/>
  <c r="O20" i="4"/>
  <c r="K21" i="4"/>
  <c r="L21" i="4"/>
  <c r="M21" i="4"/>
  <c r="N21" i="4"/>
  <c r="O21" i="4"/>
  <c r="K22" i="4"/>
  <c r="L22" i="4"/>
  <c r="M22" i="4"/>
  <c r="N22" i="4"/>
  <c r="O22" i="4"/>
  <c r="K23" i="4"/>
  <c r="L23" i="4"/>
  <c r="M23" i="4"/>
  <c r="N23" i="4"/>
  <c r="O23" i="4"/>
  <c r="K24" i="4"/>
  <c r="L24" i="4"/>
  <c r="M24" i="4"/>
  <c r="N24" i="4"/>
  <c r="O24" i="4"/>
  <c r="K25" i="4"/>
  <c r="L25" i="4"/>
  <c r="M25" i="4"/>
  <c r="N25" i="4"/>
  <c r="O25" i="4"/>
  <c r="K26" i="4"/>
  <c r="L26" i="4"/>
  <c r="M26" i="4"/>
  <c r="N26" i="4"/>
  <c r="O26" i="4"/>
  <c r="K27" i="4"/>
  <c r="L27" i="4"/>
  <c r="M27" i="4"/>
  <c r="N27" i="4"/>
  <c r="O27" i="4"/>
  <c r="K28" i="4"/>
  <c r="L28" i="4"/>
  <c r="M28" i="4"/>
  <c r="N28" i="4"/>
  <c r="O28" i="4"/>
  <c r="K29" i="4"/>
  <c r="L29" i="4"/>
  <c r="M29" i="4"/>
  <c r="N29" i="4"/>
  <c r="O29" i="4"/>
  <c r="K30" i="4"/>
  <c r="P30" i="4" s="1"/>
  <c r="L30" i="4"/>
  <c r="M30" i="4"/>
  <c r="N30" i="4"/>
  <c r="O30" i="4"/>
  <c r="K31" i="4"/>
  <c r="L31" i="4"/>
  <c r="M31" i="4"/>
  <c r="N31" i="4"/>
  <c r="O31" i="4"/>
  <c r="K32" i="4"/>
  <c r="L32" i="4"/>
  <c r="M32" i="4"/>
  <c r="N32" i="4"/>
  <c r="O32" i="4"/>
  <c r="K33" i="4"/>
  <c r="P33" i="4" s="1"/>
  <c r="L33" i="4"/>
  <c r="M33" i="4"/>
  <c r="N33" i="4"/>
  <c r="O33" i="4"/>
  <c r="K34" i="4"/>
  <c r="L34" i="4"/>
  <c r="M34" i="4"/>
  <c r="P34" i="4" s="1"/>
  <c r="N34" i="4"/>
  <c r="O34" i="4"/>
  <c r="K35" i="4"/>
  <c r="L35" i="4"/>
  <c r="M35" i="4"/>
  <c r="N35" i="4"/>
  <c r="O35" i="4"/>
  <c r="K36" i="4"/>
  <c r="P36" i="4" s="1"/>
  <c r="L36" i="4"/>
  <c r="M36" i="4"/>
  <c r="N36" i="4"/>
  <c r="O36" i="4"/>
  <c r="K37" i="4"/>
  <c r="L37" i="4"/>
  <c r="M37" i="4"/>
  <c r="N37" i="4"/>
  <c r="O37" i="4"/>
  <c r="K38" i="4"/>
  <c r="L38" i="4"/>
  <c r="M38" i="4"/>
  <c r="N38" i="4"/>
  <c r="O38" i="4"/>
  <c r="K39" i="4"/>
  <c r="L39" i="4"/>
  <c r="M39" i="4"/>
  <c r="N39" i="4"/>
  <c r="O39" i="4"/>
  <c r="K40" i="4"/>
  <c r="P40" i="4" s="1"/>
  <c r="L40" i="4"/>
  <c r="M40" i="4"/>
  <c r="N40" i="4"/>
  <c r="O40" i="4"/>
  <c r="K41" i="4"/>
  <c r="L41" i="4"/>
  <c r="M41" i="4"/>
  <c r="N41" i="4"/>
  <c r="O41" i="4"/>
  <c r="K42" i="4"/>
  <c r="L42" i="4"/>
  <c r="M42" i="4"/>
  <c r="N42" i="4"/>
  <c r="O42" i="4"/>
  <c r="K43" i="4"/>
  <c r="L43" i="4"/>
  <c r="M43" i="4"/>
  <c r="N43" i="4"/>
  <c r="O43" i="4"/>
  <c r="K44" i="4"/>
  <c r="L44" i="4"/>
  <c r="M44" i="4"/>
  <c r="N44" i="4"/>
  <c r="O44" i="4"/>
  <c r="K45" i="4"/>
  <c r="L45" i="4"/>
  <c r="M45" i="4"/>
  <c r="N45" i="4"/>
  <c r="O45" i="4"/>
  <c r="K46" i="4"/>
  <c r="L46" i="4"/>
  <c r="M46" i="4"/>
  <c r="N46" i="4"/>
  <c r="O46" i="4"/>
  <c r="O2" i="4"/>
  <c r="N2" i="4"/>
  <c r="M2" i="4"/>
  <c r="L2" i="4"/>
  <c r="K2" i="4"/>
  <c r="P2" i="4" s="1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2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2" i="3"/>
  <c r="D2" i="2"/>
  <c r="D3" i="2"/>
  <c r="D4" i="2"/>
  <c r="D5" i="2"/>
  <c r="D6" i="2"/>
  <c r="D1" i="2"/>
  <c r="B4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2" i="1"/>
  <c r="P39" i="4" l="1"/>
  <c r="P42" i="4"/>
  <c r="P23" i="4"/>
  <c r="P13" i="4"/>
  <c r="P35" i="4"/>
  <c r="P19" i="4"/>
  <c r="P3" i="4"/>
  <c r="P31" i="4"/>
  <c r="P12" i="4"/>
  <c r="P4" i="4"/>
  <c r="P7" i="4"/>
  <c r="P41" i="4"/>
  <c r="P25" i="4"/>
  <c r="P28" i="4"/>
  <c r="P43" i="4"/>
  <c r="P27" i="4"/>
  <c r="P11" i="4"/>
  <c r="P10" i="4"/>
  <c r="P29" i="4"/>
  <c r="P32" i="4"/>
  <c r="P16" i="4"/>
  <c r="P15" i="4"/>
  <c r="P9" i="4"/>
  <c r="P44" i="4"/>
  <c r="P37" i="4"/>
  <c r="P21" i="4"/>
  <c r="P5" i="4"/>
  <c r="P26" i="4"/>
  <c r="P22" i="4"/>
  <c r="P6" i="4"/>
  <c r="P24" i="4"/>
  <c r="P8" i="4"/>
  <c r="P45" i="4"/>
  <c r="P38" i="4"/>
</calcChain>
</file>

<file path=xl/sharedStrings.xml><?xml version="1.0" encoding="utf-8"?>
<sst xmlns="http://schemas.openxmlformats.org/spreadsheetml/2006/main" count="295" uniqueCount="188">
  <si>
    <t>숫자 1</t>
  </si>
  <si>
    <t>숫자 2</t>
  </si>
  <si>
    <t>숫자 3</t>
  </si>
  <si>
    <t>숫자 4</t>
  </si>
  <si>
    <t>숫자 5</t>
  </si>
  <si>
    <t>숫자 6</t>
  </si>
  <si>
    <t>숫자 7</t>
  </si>
  <si>
    <t>숫자 8</t>
  </si>
  <si>
    <t>숫자 9</t>
  </si>
  <si>
    <t>숫자 10</t>
  </si>
  <si>
    <t>숫자 11</t>
  </si>
  <si>
    <t>숫자 12</t>
  </si>
  <si>
    <t>숫자 13</t>
  </si>
  <si>
    <t>숫자 14</t>
  </si>
  <si>
    <t>숫자 15</t>
  </si>
  <si>
    <t>숫자 16</t>
  </si>
  <si>
    <t>숫자 17</t>
  </si>
  <si>
    <t>숫자 18</t>
  </si>
  <si>
    <t>숫자 19</t>
  </si>
  <si>
    <t>숫자 20</t>
  </si>
  <si>
    <t>숫자 21</t>
  </si>
  <si>
    <t>숫자 22</t>
  </si>
  <si>
    <t>숫자 23</t>
  </si>
  <si>
    <t>숫자 24</t>
  </si>
  <si>
    <t>숫자 25</t>
  </si>
  <si>
    <t>숫자 26</t>
  </si>
  <si>
    <t>숫자 27</t>
  </si>
  <si>
    <t>숫자 28</t>
  </si>
  <si>
    <t>숫자 29</t>
  </si>
  <si>
    <t>숫자 30</t>
  </si>
  <si>
    <t>숫자 31</t>
  </si>
  <si>
    <t>숫자 32</t>
  </si>
  <si>
    <t>숫자 33</t>
  </si>
  <si>
    <t>숫자 34</t>
  </si>
  <si>
    <t>숫자 35</t>
  </si>
  <si>
    <t>숫자 36</t>
  </si>
  <si>
    <t>숫자 37</t>
  </si>
  <si>
    <t>숫자 38</t>
  </si>
  <si>
    <t>숫자 39</t>
  </si>
  <si>
    <t>숫자 40</t>
  </si>
  <si>
    <t>숫자 41</t>
  </si>
  <si>
    <t>숫자 42</t>
  </si>
  <si>
    <t>숫자 43</t>
  </si>
  <si>
    <t>숫자 44</t>
  </si>
  <si>
    <t>숫자 45</t>
  </si>
  <si>
    <t xml:space="preserve">Probability of 1 </t>
  </si>
  <si>
    <t xml:space="preserve">Probability of 2 </t>
  </si>
  <si>
    <t xml:space="preserve">Probability of 3 </t>
  </si>
  <si>
    <t xml:space="preserve">Probability of 4 </t>
  </si>
  <si>
    <t xml:space="preserve">Probability of 5 </t>
  </si>
  <si>
    <t xml:space="preserve">Probability of 6 </t>
  </si>
  <si>
    <t># max(seq)</t>
  </si>
  <si>
    <t xml:space="preserve"> sum(45n1)</t>
  </si>
  <si>
    <t xml:space="preserve"> sum(45n2)</t>
  </si>
  <si>
    <t xml:space="preserve"> sum(45n3)</t>
  </si>
  <si>
    <t xml:space="preserve"> sum(45n4)</t>
  </si>
  <si>
    <t xml:space="preserve"> sum(45n5)</t>
  </si>
  <si>
    <t xml:space="preserve"> sum(45n6)</t>
  </si>
  <si>
    <t xml:space="preserve"> sum(45n7)</t>
  </si>
  <si>
    <t xml:space="preserve"> sum(45n8)</t>
  </si>
  <si>
    <t xml:space="preserve"> sum(45n9)</t>
  </si>
  <si>
    <t xml:space="preserve"> sum(45n10)</t>
  </si>
  <si>
    <t xml:space="preserve"> sum(45n11)</t>
  </si>
  <si>
    <t xml:space="preserve"> sum(45n12)</t>
  </si>
  <si>
    <t xml:space="preserve"> sum(45n13)</t>
  </si>
  <si>
    <t xml:space="preserve"> sum(45n14)</t>
  </si>
  <si>
    <t xml:space="preserve"> sum(45n15)</t>
  </si>
  <si>
    <t xml:space="preserve"> sum(45n16)</t>
  </si>
  <si>
    <t xml:space="preserve"> sum(45n17)</t>
  </si>
  <si>
    <t xml:space="preserve"> sum(45n18)</t>
  </si>
  <si>
    <t xml:space="preserve"> sum(45n19)</t>
  </si>
  <si>
    <t xml:space="preserve"> sum(45n20)</t>
  </si>
  <si>
    <t xml:space="preserve"> sum(45n21)</t>
  </si>
  <si>
    <t xml:space="preserve"> sum(45n22)</t>
  </si>
  <si>
    <t xml:space="preserve"> sum(45n23)</t>
  </si>
  <si>
    <t xml:space="preserve"> sum(45n24)</t>
  </si>
  <si>
    <t xml:space="preserve"> sum(45n25)</t>
  </si>
  <si>
    <t xml:space="preserve"> sum(45n26)</t>
  </si>
  <si>
    <t xml:space="preserve"> sum(45n27)</t>
  </si>
  <si>
    <t xml:space="preserve"> sum(45n28)</t>
  </si>
  <si>
    <t xml:space="preserve"> sum(45n29)</t>
  </si>
  <si>
    <t xml:space="preserve"> sum(45n30)</t>
  </si>
  <si>
    <t xml:space="preserve"> sum(45n31)</t>
  </si>
  <si>
    <t xml:space="preserve"> sum(45n32)</t>
  </si>
  <si>
    <t xml:space="preserve"> sum(45n33)</t>
  </si>
  <si>
    <t xml:space="preserve"> sum(45n34)</t>
  </si>
  <si>
    <t xml:space="preserve"> sum(45n35)</t>
  </si>
  <si>
    <t xml:space="preserve"> sum(45n36)</t>
  </si>
  <si>
    <t xml:space="preserve"> sum(45n37)</t>
  </si>
  <si>
    <t xml:space="preserve"> sum(45n38)</t>
  </si>
  <si>
    <t xml:space="preserve"> sum(45n39)</t>
  </si>
  <si>
    <t xml:space="preserve"> sum(45n40)</t>
  </si>
  <si>
    <t xml:space="preserve"> sum(45n41)</t>
  </si>
  <si>
    <t xml:space="preserve"> sum(45n42)</t>
  </si>
  <si>
    <t xml:space="preserve"> sum(45n43)</t>
  </si>
  <si>
    <t xml:space="preserve"> sum(45n44)</t>
  </si>
  <si>
    <t xml:space="preserve"> sum(45n45)</t>
  </si>
  <si>
    <t>'1112'</t>
  </si>
  <si>
    <t xml:space="preserve"> '169.5'</t>
  </si>
  <si>
    <t xml:space="preserve"> '158.0'</t>
  </si>
  <si>
    <t xml:space="preserve"> '164.0'</t>
  </si>
  <si>
    <t xml:space="preserve"> '164.5'</t>
  </si>
  <si>
    <t xml:space="preserve"> '151.0'</t>
  </si>
  <si>
    <t xml:space="preserve"> '161.5'</t>
  </si>
  <si>
    <t xml:space="preserve"> '152.0'</t>
  </si>
  <si>
    <t xml:space="preserve"> '128.0'</t>
  </si>
  <si>
    <t xml:space="preserve"> '162.0'</t>
  </si>
  <si>
    <t xml:space="preserve"> '175.5'</t>
  </si>
  <si>
    <t xml:space="preserve"> '171.0'</t>
  </si>
  <si>
    <t xml:space="preserve"> '170.5'</t>
  </si>
  <si>
    <t xml:space="preserve"> '160.5'</t>
  </si>
  <si>
    <t xml:space="preserve"> '173.0'</t>
  </si>
  <si>
    <t xml:space="preserve"> '159.0'</t>
  </si>
  <si>
    <t xml:space="preserve"> '168.0'</t>
  </si>
  <si>
    <t xml:space="preserve"> '161.0'</t>
  </si>
  <si>
    <t xml:space="preserve"> '141.0'</t>
  </si>
  <si>
    <t xml:space="preserve"> '144.0'</t>
  </si>
  <si>
    <t xml:space="preserve"> '163.0'</t>
  </si>
  <si>
    <t xml:space="preserve"> '146.0'</t>
  </si>
  <si>
    <t xml:space="preserve"> '165.5'</t>
  </si>
  <si>
    <t xml:space="preserve"> '172.5'</t>
  </si>
  <si>
    <t xml:space="preserve"> '145.5'</t>
  </si>
  <si>
    <t xml:space="preserve"> '147.5'</t>
  </si>
  <si>
    <t xml:space="preserve"> '154.0'</t>
  </si>
  <si>
    <t xml:space="preserve"> '162.5'</t>
  </si>
  <si>
    <t xml:space="preserve"> '143.5'</t>
  </si>
  <si>
    <t xml:space="preserve"> '179.0'</t>
  </si>
  <si>
    <t xml:space="preserve"> '160.0'</t>
  </si>
  <si>
    <t xml:space="preserve"> '165.0'</t>
  </si>
  <si>
    <t xml:space="preserve"> '155.5'</t>
  </si>
  <si>
    <t xml:space="preserve"> '174.5'</t>
  </si>
  <si>
    <t>org</t>
    <phoneticPr fontId="1" type="noConversion"/>
  </si>
  <si>
    <t>order</t>
    <phoneticPr fontId="1" type="noConversion"/>
  </si>
  <si>
    <t>perceptron</t>
    <phoneticPr fontId="1" type="noConversion"/>
  </si>
  <si>
    <t>,sum(floor(@n))</t>
    <phoneticPr fontId="1" type="noConversion"/>
  </si>
  <si>
    <t>max(seq)</t>
  </si>
  <si>
    <t>sum(floor(45n1))</t>
  </si>
  <si>
    <t>sum(floor(45n2))</t>
  </si>
  <si>
    <t>sum(floor(45n3))</t>
  </si>
  <si>
    <t>sum(floor(45n4))</t>
  </si>
  <si>
    <t>sum(floor(45n5))</t>
  </si>
  <si>
    <t>sum(floor(45n6))</t>
  </si>
  <si>
    <t>sum(floor(45n7))</t>
  </si>
  <si>
    <t>sum(floor(45n8))</t>
  </si>
  <si>
    <t>sum(floor(45n9))</t>
  </si>
  <si>
    <t>sum(floor(45n10))</t>
  </si>
  <si>
    <t>sum(floor(45n11))</t>
  </si>
  <si>
    <t>sum(floor(45n12))</t>
  </si>
  <si>
    <t>sum(floor(45n13))</t>
  </si>
  <si>
    <t>sum(floor(45n14))</t>
  </si>
  <si>
    <t>sum(floor(45n15))</t>
  </si>
  <si>
    <t>sum(floor(45n16))</t>
  </si>
  <si>
    <t>sum(floor(45n17))</t>
  </si>
  <si>
    <t>sum(floor(45n18))</t>
  </si>
  <si>
    <t>sum(floor(45n19))</t>
  </si>
  <si>
    <t>sum(floor(45n20))</t>
  </si>
  <si>
    <t>sum(floor(45n21))</t>
  </si>
  <si>
    <t>sum(floor(45n22))</t>
  </si>
  <si>
    <t>sum(floor(45n23))</t>
  </si>
  <si>
    <t>sum(floor(45n24))</t>
  </si>
  <si>
    <t>sum(floor(45n25))</t>
  </si>
  <si>
    <t>sum(floor(45n26))</t>
  </si>
  <si>
    <t>sum(floor(45n27))</t>
  </si>
  <si>
    <t>sum(floor(45n28))</t>
  </si>
  <si>
    <t>sum(floor(45n29))</t>
  </si>
  <si>
    <t>sum(floor(45n30))</t>
  </si>
  <si>
    <t>sum(floor(45n31))</t>
  </si>
  <si>
    <t>sum(floor(45n32))</t>
  </si>
  <si>
    <t>sum(floor(45n33))</t>
  </si>
  <si>
    <t>sum(floor(45n34))</t>
  </si>
  <si>
    <t>sum(floor(45n35))</t>
  </si>
  <si>
    <t>sum(floor(45n36))</t>
  </si>
  <si>
    <t>sum(floor(45n37))</t>
  </si>
  <si>
    <t>sum(floor(45n38))</t>
  </si>
  <si>
    <t>sum(floor(45n39))</t>
  </si>
  <si>
    <t>sum(floor(45n40))</t>
  </si>
  <si>
    <t>sum(floor(45n41))</t>
  </si>
  <si>
    <t>sum(floor(45n42))</t>
  </si>
  <si>
    <t>sum(floor(45n43))</t>
  </si>
  <si>
    <t>sum(floor(45n44))</t>
  </si>
  <si>
    <t>sum(floor(45n45))</t>
  </si>
  <si>
    <t>timeseries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</si>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</sst>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_);[Red]\(0.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quotePrefix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08B0-C33C-4401-B7D9-0B69F5278A53}">
  <dimension ref="A1:H46"/>
  <sheetViews>
    <sheetView zoomScaleNormal="100" workbookViewId="0">
      <selection activeCell="H2" sqref="H2:H46"/>
    </sheetView>
  </sheetViews>
  <sheetFormatPr defaultRowHeight="16.5" x14ac:dyDescent="0.3"/>
  <cols>
    <col min="4" max="4" width="7.875" bestFit="1" customWidth="1"/>
    <col min="8" max="8" width="16.25" bestFit="1" customWidth="1"/>
  </cols>
  <sheetData>
    <row r="1" spans="1:8" x14ac:dyDescent="0.3">
      <c r="H1" t="s">
        <v>134</v>
      </c>
    </row>
    <row r="2" spans="1:8" x14ac:dyDescent="0.3">
      <c r="A2">
        <v>1</v>
      </c>
      <c r="B2" t="str">
        <f>"'"&amp;A2&amp;"':0,"</f>
        <v>'1':0,</v>
      </c>
      <c r="D2" t="s">
        <v>0</v>
      </c>
      <c r="E2">
        <v>0</v>
      </c>
      <c r="H2" t="str">
        <f>SUBSTITUTE($H$1,"@n","45n"&amp;A2)</f>
        <v>,sum(floor(45n1))</v>
      </c>
    </row>
    <row r="3" spans="1:8" x14ac:dyDescent="0.3">
      <c r="A3">
        <v>2</v>
      </c>
      <c r="B3" t="str">
        <f t="shared" ref="B3:B46" si="0">"'"&amp;A3&amp;"':0,"</f>
        <v>'2':0,</v>
      </c>
      <c r="D3" t="s">
        <v>1</v>
      </c>
      <c r="E3">
        <v>0</v>
      </c>
      <c r="H3" t="str">
        <f t="shared" ref="H3:H46" si="1">SUBSTITUTE($H$1,"@n","45n"&amp;A3)</f>
        <v>,sum(floor(45n2))</v>
      </c>
    </row>
    <row r="4" spans="1:8" x14ac:dyDescent="0.3">
      <c r="A4" s="1">
        <v>3</v>
      </c>
      <c r="B4" t="str">
        <f t="shared" si="0"/>
        <v>'3':0,</v>
      </c>
      <c r="D4" t="s">
        <v>2</v>
      </c>
      <c r="E4">
        <v>0</v>
      </c>
      <c r="H4" t="str">
        <f t="shared" si="1"/>
        <v>,sum(floor(45n3))</v>
      </c>
    </row>
    <row r="5" spans="1:8" x14ac:dyDescent="0.3">
      <c r="A5">
        <v>4</v>
      </c>
      <c r="B5" t="str">
        <f t="shared" si="0"/>
        <v>'4':0,</v>
      </c>
      <c r="D5" t="s">
        <v>3</v>
      </c>
      <c r="E5">
        <v>0</v>
      </c>
      <c r="H5" t="str">
        <f t="shared" si="1"/>
        <v>,sum(floor(45n4))</v>
      </c>
    </row>
    <row r="6" spans="1:8" x14ac:dyDescent="0.3">
      <c r="A6">
        <v>5</v>
      </c>
      <c r="B6" t="str">
        <f t="shared" si="0"/>
        <v>'5':0,</v>
      </c>
      <c r="D6" t="s">
        <v>4</v>
      </c>
      <c r="E6">
        <v>0</v>
      </c>
      <c r="H6" t="str">
        <f t="shared" si="1"/>
        <v>,sum(floor(45n5))</v>
      </c>
    </row>
    <row r="7" spans="1:8" x14ac:dyDescent="0.3">
      <c r="A7" s="1">
        <v>6</v>
      </c>
      <c r="B7" t="str">
        <f t="shared" si="0"/>
        <v>'6':0,</v>
      </c>
      <c r="D7" t="s">
        <v>5</v>
      </c>
      <c r="E7">
        <v>0</v>
      </c>
      <c r="H7" t="str">
        <f t="shared" si="1"/>
        <v>,sum(floor(45n6))</v>
      </c>
    </row>
    <row r="8" spans="1:8" x14ac:dyDescent="0.3">
      <c r="A8">
        <v>7</v>
      </c>
      <c r="B8" t="str">
        <f t="shared" si="0"/>
        <v>'7':0,</v>
      </c>
      <c r="D8" t="s">
        <v>6</v>
      </c>
      <c r="E8">
        <v>0</v>
      </c>
      <c r="H8" t="str">
        <f t="shared" si="1"/>
        <v>,sum(floor(45n7))</v>
      </c>
    </row>
    <row r="9" spans="1:8" x14ac:dyDescent="0.3">
      <c r="A9">
        <v>8</v>
      </c>
      <c r="B9" t="str">
        <f t="shared" si="0"/>
        <v>'8':0,</v>
      </c>
      <c r="D9" t="s">
        <v>7</v>
      </c>
      <c r="E9">
        <v>0</v>
      </c>
      <c r="H9" t="str">
        <f t="shared" si="1"/>
        <v>,sum(floor(45n8))</v>
      </c>
    </row>
    <row r="10" spans="1:8" x14ac:dyDescent="0.3">
      <c r="A10" s="1">
        <v>9</v>
      </c>
      <c r="B10" t="str">
        <f t="shared" si="0"/>
        <v>'9':0,</v>
      </c>
      <c r="D10" t="s">
        <v>8</v>
      </c>
      <c r="E10">
        <v>0</v>
      </c>
      <c r="H10" t="str">
        <f t="shared" si="1"/>
        <v>,sum(floor(45n9))</v>
      </c>
    </row>
    <row r="11" spans="1:8" x14ac:dyDescent="0.3">
      <c r="A11">
        <v>10</v>
      </c>
      <c r="B11" t="str">
        <f t="shared" si="0"/>
        <v>'10':0,</v>
      </c>
      <c r="D11" t="s">
        <v>9</v>
      </c>
      <c r="E11">
        <v>0</v>
      </c>
      <c r="H11" t="str">
        <f t="shared" si="1"/>
        <v>,sum(floor(45n10))</v>
      </c>
    </row>
    <row r="12" spans="1:8" x14ac:dyDescent="0.3">
      <c r="A12">
        <v>11</v>
      </c>
      <c r="B12" t="str">
        <f t="shared" si="0"/>
        <v>'11':0,</v>
      </c>
      <c r="D12" t="s">
        <v>10</v>
      </c>
      <c r="E12">
        <v>0</v>
      </c>
      <c r="H12" t="str">
        <f t="shared" si="1"/>
        <v>,sum(floor(45n11))</v>
      </c>
    </row>
    <row r="13" spans="1:8" x14ac:dyDescent="0.3">
      <c r="A13" s="1">
        <v>12</v>
      </c>
      <c r="B13" t="str">
        <f t="shared" si="0"/>
        <v>'12':0,</v>
      </c>
      <c r="D13" t="s">
        <v>11</v>
      </c>
      <c r="E13">
        <v>0</v>
      </c>
      <c r="H13" t="str">
        <f t="shared" si="1"/>
        <v>,sum(floor(45n12))</v>
      </c>
    </row>
    <row r="14" spans="1:8" x14ac:dyDescent="0.3">
      <c r="A14">
        <v>13</v>
      </c>
      <c r="B14" t="str">
        <f t="shared" si="0"/>
        <v>'13':0,</v>
      </c>
      <c r="D14" t="s">
        <v>12</v>
      </c>
      <c r="E14">
        <v>0</v>
      </c>
      <c r="H14" t="str">
        <f t="shared" si="1"/>
        <v>,sum(floor(45n13))</v>
      </c>
    </row>
    <row r="15" spans="1:8" x14ac:dyDescent="0.3">
      <c r="A15">
        <v>14</v>
      </c>
      <c r="B15" t="str">
        <f t="shared" si="0"/>
        <v>'14':0,</v>
      </c>
      <c r="D15" t="s">
        <v>13</v>
      </c>
      <c r="E15">
        <v>0</v>
      </c>
      <c r="H15" t="str">
        <f t="shared" si="1"/>
        <v>,sum(floor(45n14))</v>
      </c>
    </row>
    <row r="16" spans="1:8" x14ac:dyDescent="0.3">
      <c r="A16" s="1">
        <v>15</v>
      </c>
      <c r="B16" t="str">
        <f t="shared" si="0"/>
        <v>'15':0,</v>
      </c>
      <c r="D16" t="s">
        <v>14</v>
      </c>
      <c r="E16">
        <v>0</v>
      </c>
      <c r="H16" t="str">
        <f t="shared" si="1"/>
        <v>,sum(floor(45n15))</v>
      </c>
    </row>
    <row r="17" spans="1:8" x14ac:dyDescent="0.3">
      <c r="A17">
        <v>16</v>
      </c>
      <c r="B17" t="str">
        <f t="shared" si="0"/>
        <v>'16':0,</v>
      </c>
      <c r="D17" t="s">
        <v>15</v>
      </c>
      <c r="E17">
        <v>0</v>
      </c>
      <c r="H17" t="str">
        <f t="shared" si="1"/>
        <v>,sum(floor(45n16))</v>
      </c>
    </row>
    <row r="18" spans="1:8" x14ac:dyDescent="0.3">
      <c r="A18">
        <v>17</v>
      </c>
      <c r="B18" t="str">
        <f t="shared" si="0"/>
        <v>'17':0,</v>
      </c>
      <c r="D18" t="s">
        <v>16</v>
      </c>
      <c r="E18">
        <v>0</v>
      </c>
      <c r="H18" t="str">
        <f t="shared" si="1"/>
        <v>,sum(floor(45n17))</v>
      </c>
    </row>
    <row r="19" spans="1:8" x14ac:dyDescent="0.3">
      <c r="A19" s="1">
        <v>18</v>
      </c>
      <c r="B19" t="str">
        <f t="shared" si="0"/>
        <v>'18':0,</v>
      </c>
      <c r="D19" t="s">
        <v>17</v>
      </c>
      <c r="E19">
        <v>8.9999999999999998E-4</v>
      </c>
      <c r="H19" t="str">
        <f t="shared" si="1"/>
        <v>,sum(floor(45n18))</v>
      </c>
    </row>
    <row r="20" spans="1:8" x14ac:dyDescent="0.3">
      <c r="A20">
        <v>19</v>
      </c>
      <c r="B20" t="str">
        <f t="shared" si="0"/>
        <v>'19':0,</v>
      </c>
      <c r="D20" t="s">
        <v>18</v>
      </c>
      <c r="E20">
        <v>2.7000000000000001E-3</v>
      </c>
      <c r="H20" t="str">
        <f t="shared" si="1"/>
        <v>,sum(floor(45n19))</v>
      </c>
    </row>
    <row r="21" spans="1:8" x14ac:dyDescent="0.3">
      <c r="A21">
        <v>20</v>
      </c>
      <c r="B21" t="str">
        <f t="shared" si="0"/>
        <v>'20':0,</v>
      </c>
      <c r="D21" t="s">
        <v>19</v>
      </c>
      <c r="E21">
        <v>3.5999999999999999E-3</v>
      </c>
      <c r="H21" t="str">
        <f t="shared" si="1"/>
        <v>,sum(floor(45n20))</v>
      </c>
    </row>
    <row r="22" spans="1:8" x14ac:dyDescent="0.3">
      <c r="A22" s="1">
        <v>21</v>
      </c>
      <c r="B22" t="str">
        <f t="shared" si="0"/>
        <v>'21':0,</v>
      </c>
      <c r="D22" t="s">
        <v>20</v>
      </c>
      <c r="E22">
        <v>2.5999999999999999E-3</v>
      </c>
      <c r="H22" t="str">
        <f t="shared" si="1"/>
        <v>,sum(floor(45n21))</v>
      </c>
    </row>
    <row r="23" spans="1:8" x14ac:dyDescent="0.3">
      <c r="A23">
        <v>22</v>
      </c>
      <c r="B23" t="str">
        <f t="shared" si="0"/>
        <v>'22':0,</v>
      </c>
      <c r="D23" t="s">
        <v>21</v>
      </c>
      <c r="E23">
        <v>2.7000000000000001E-3</v>
      </c>
      <c r="H23" t="str">
        <f t="shared" si="1"/>
        <v>,sum(floor(45n22))</v>
      </c>
    </row>
    <row r="24" spans="1:8" x14ac:dyDescent="0.3">
      <c r="A24">
        <v>23</v>
      </c>
      <c r="B24" t="str">
        <f t="shared" si="0"/>
        <v>'23':0,</v>
      </c>
      <c r="D24" t="s">
        <v>22</v>
      </c>
      <c r="E24">
        <v>3.5000000000000001E-3</v>
      </c>
      <c r="H24" t="str">
        <f t="shared" si="1"/>
        <v>,sum(floor(45n23))</v>
      </c>
    </row>
    <row r="25" spans="1:8" x14ac:dyDescent="0.3">
      <c r="A25" s="1">
        <v>24</v>
      </c>
      <c r="B25" t="str">
        <f t="shared" si="0"/>
        <v>'24':0,</v>
      </c>
      <c r="D25" t="s">
        <v>23</v>
      </c>
      <c r="E25">
        <v>2.5999999999999999E-3</v>
      </c>
      <c r="H25" t="str">
        <f t="shared" si="1"/>
        <v>,sum(floor(45n24))</v>
      </c>
    </row>
    <row r="26" spans="1:8" x14ac:dyDescent="0.3">
      <c r="A26">
        <v>25</v>
      </c>
      <c r="B26" t="str">
        <f t="shared" si="0"/>
        <v>'25':0,</v>
      </c>
      <c r="D26" t="s">
        <v>24</v>
      </c>
      <c r="E26">
        <v>5.4999999999999997E-3</v>
      </c>
      <c r="H26" t="str">
        <f t="shared" si="1"/>
        <v>,sum(floor(45n25))</v>
      </c>
    </row>
    <row r="27" spans="1:8" x14ac:dyDescent="0.3">
      <c r="A27">
        <v>26</v>
      </c>
      <c r="B27" t="str">
        <f t="shared" si="0"/>
        <v>'26':0,</v>
      </c>
      <c r="D27" t="s">
        <v>25</v>
      </c>
      <c r="E27">
        <v>5.4000000000000003E-3</v>
      </c>
      <c r="H27" t="str">
        <f t="shared" si="1"/>
        <v>,sum(floor(45n26))</v>
      </c>
    </row>
    <row r="28" spans="1:8" x14ac:dyDescent="0.3">
      <c r="A28" s="1">
        <v>27</v>
      </c>
      <c r="B28" t="str">
        <f t="shared" si="0"/>
        <v>'27':0,</v>
      </c>
      <c r="D28" t="s">
        <v>26</v>
      </c>
      <c r="E28">
        <v>8.9999999999999993E-3</v>
      </c>
      <c r="H28" t="str">
        <f t="shared" si="1"/>
        <v>,sum(floor(45n27))</v>
      </c>
    </row>
    <row r="29" spans="1:8" x14ac:dyDescent="0.3">
      <c r="A29">
        <v>28</v>
      </c>
      <c r="B29" t="str">
        <f t="shared" si="0"/>
        <v>'28':0,</v>
      </c>
      <c r="D29" t="s">
        <v>27</v>
      </c>
      <c r="E29">
        <v>9.7999999999999997E-3</v>
      </c>
      <c r="H29" t="str">
        <f t="shared" si="1"/>
        <v>,sum(floor(45n28))</v>
      </c>
    </row>
    <row r="30" spans="1:8" x14ac:dyDescent="0.3">
      <c r="A30">
        <v>29</v>
      </c>
      <c r="B30" t="str">
        <f t="shared" si="0"/>
        <v>'29':0,</v>
      </c>
      <c r="D30" t="s">
        <v>28</v>
      </c>
      <c r="E30">
        <v>8.0000000000000002E-3</v>
      </c>
      <c r="H30" t="str">
        <f t="shared" si="1"/>
        <v>,sum(floor(45n29))</v>
      </c>
    </row>
    <row r="31" spans="1:8" x14ac:dyDescent="0.3">
      <c r="A31" s="1">
        <v>30</v>
      </c>
      <c r="B31" t="str">
        <f t="shared" si="0"/>
        <v>'30':0,</v>
      </c>
      <c r="D31" t="s">
        <v>29</v>
      </c>
      <c r="E31">
        <v>1.18E-2</v>
      </c>
      <c r="H31" t="str">
        <f t="shared" si="1"/>
        <v>,sum(floor(45n30))</v>
      </c>
    </row>
    <row r="32" spans="1:8" x14ac:dyDescent="0.3">
      <c r="A32">
        <v>31</v>
      </c>
      <c r="B32" t="str">
        <f t="shared" si="0"/>
        <v>'31':0,</v>
      </c>
      <c r="D32" t="s">
        <v>30</v>
      </c>
      <c r="E32">
        <v>1.55E-2</v>
      </c>
      <c r="H32" t="str">
        <f t="shared" si="1"/>
        <v>,sum(floor(45n31))</v>
      </c>
    </row>
    <row r="33" spans="1:8" x14ac:dyDescent="0.3">
      <c r="A33">
        <v>32</v>
      </c>
      <c r="B33" t="str">
        <f t="shared" si="0"/>
        <v>'32':0,</v>
      </c>
      <c r="D33" t="s">
        <v>31</v>
      </c>
      <c r="E33">
        <v>1.8800000000000001E-2</v>
      </c>
      <c r="H33" t="str">
        <f t="shared" si="1"/>
        <v>,sum(floor(45n32))</v>
      </c>
    </row>
    <row r="34" spans="1:8" x14ac:dyDescent="0.3">
      <c r="A34" s="1">
        <v>33</v>
      </c>
      <c r="B34" t="str">
        <f t="shared" si="0"/>
        <v>'33':0,</v>
      </c>
      <c r="D34" t="s">
        <v>32</v>
      </c>
      <c r="E34">
        <v>2.18E-2</v>
      </c>
      <c r="H34" t="str">
        <f t="shared" si="1"/>
        <v>,sum(floor(45n33))</v>
      </c>
    </row>
    <row r="35" spans="1:8" x14ac:dyDescent="0.3">
      <c r="A35">
        <v>34</v>
      </c>
      <c r="B35" t="str">
        <f t="shared" si="0"/>
        <v>'34':0,</v>
      </c>
      <c r="D35" t="s">
        <v>33</v>
      </c>
      <c r="E35">
        <v>2.8899999999999999E-2</v>
      </c>
      <c r="H35" t="str">
        <f t="shared" si="1"/>
        <v>,sum(floor(45n34))</v>
      </c>
    </row>
    <row r="36" spans="1:8" x14ac:dyDescent="0.3">
      <c r="A36">
        <v>35</v>
      </c>
      <c r="B36" t="str">
        <f t="shared" si="0"/>
        <v>'35':0,</v>
      </c>
      <c r="D36" t="s">
        <v>34</v>
      </c>
      <c r="E36">
        <v>3.5400000000000001E-2</v>
      </c>
      <c r="H36" t="str">
        <f t="shared" si="1"/>
        <v>,sum(floor(45n35))</v>
      </c>
    </row>
    <row r="37" spans="1:8" x14ac:dyDescent="0.3">
      <c r="A37" s="1">
        <v>36</v>
      </c>
      <c r="B37" t="str">
        <f t="shared" si="0"/>
        <v>'36':0,</v>
      </c>
      <c r="D37" t="s">
        <v>35</v>
      </c>
      <c r="E37">
        <v>4.3200000000000002E-2</v>
      </c>
      <c r="H37" t="str">
        <f t="shared" si="1"/>
        <v>,sum(floor(45n36))</v>
      </c>
    </row>
    <row r="38" spans="1:8" x14ac:dyDescent="0.3">
      <c r="A38">
        <v>37</v>
      </c>
      <c r="B38" t="str">
        <f t="shared" si="0"/>
        <v>'37':0,</v>
      </c>
      <c r="D38" t="s">
        <v>36</v>
      </c>
      <c r="E38">
        <v>4.7800000000000002E-2</v>
      </c>
      <c r="H38" t="str">
        <f t="shared" si="1"/>
        <v>,sum(floor(45n37))</v>
      </c>
    </row>
    <row r="39" spans="1:8" x14ac:dyDescent="0.3">
      <c r="A39">
        <v>38</v>
      </c>
      <c r="B39" t="str">
        <f t="shared" si="0"/>
        <v>'38':0,</v>
      </c>
      <c r="D39" t="s">
        <v>37</v>
      </c>
      <c r="E39">
        <v>5.2900000000000003E-2</v>
      </c>
      <c r="H39" t="str">
        <f t="shared" si="1"/>
        <v>,sum(floor(45n38))</v>
      </c>
    </row>
    <row r="40" spans="1:8" x14ac:dyDescent="0.3">
      <c r="A40" s="1">
        <v>39</v>
      </c>
      <c r="B40" t="str">
        <f t="shared" si="0"/>
        <v>'39':0,</v>
      </c>
      <c r="D40" t="s">
        <v>38</v>
      </c>
      <c r="E40">
        <v>5.9900000000000002E-2</v>
      </c>
      <c r="H40" t="str">
        <f t="shared" si="1"/>
        <v>,sum(floor(45n39))</v>
      </c>
    </row>
    <row r="41" spans="1:8" x14ac:dyDescent="0.3">
      <c r="A41">
        <v>40</v>
      </c>
      <c r="B41" t="str">
        <f t="shared" si="0"/>
        <v>'40':0,</v>
      </c>
      <c r="D41" t="s">
        <v>39</v>
      </c>
      <c r="E41">
        <v>7.9500000000000001E-2</v>
      </c>
      <c r="H41" t="str">
        <f t="shared" si="1"/>
        <v>,sum(floor(45n40))</v>
      </c>
    </row>
    <row r="42" spans="1:8" x14ac:dyDescent="0.3">
      <c r="A42">
        <v>41</v>
      </c>
      <c r="B42" t="str">
        <f t="shared" si="0"/>
        <v>'41':0,</v>
      </c>
      <c r="D42" t="s">
        <v>40</v>
      </c>
      <c r="E42">
        <v>6.6900000000000001E-2</v>
      </c>
      <c r="H42" t="str">
        <f t="shared" si="1"/>
        <v>,sum(floor(45n41))</v>
      </c>
    </row>
    <row r="43" spans="1:8" x14ac:dyDescent="0.3">
      <c r="A43" s="1">
        <v>42</v>
      </c>
      <c r="B43" t="str">
        <f t="shared" si="0"/>
        <v>'42':0,</v>
      </c>
      <c r="D43" t="s">
        <v>41</v>
      </c>
      <c r="E43">
        <v>8.3599999999999994E-2</v>
      </c>
      <c r="H43" t="str">
        <f t="shared" si="1"/>
        <v>,sum(floor(45n42))</v>
      </c>
    </row>
    <row r="44" spans="1:8" x14ac:dyDescent="0.3">
      <c r="A44">
        <v>43</v>
      </c>
      <c r="B44" t="str">
        <f t="shared" si="0"/>
        <v>'43':0,</v>
      </c>
      <c r="D44" t="s">
        <v>42</v>
      </c>
      <c r="E44">
        <v>0.1109</v>
      </c>
      <c r="H44" t="str">
        <f t="shared" si="1"/>
        <v>,sum(floor(45n43))</v>
      </c>
    </row>
    <row r="45" spans="1:8" x14ac:dyDescent="0.3">
      <c r="A45">
        <v>44</v>
      </c>
      <c r="B45" t="str">
        <f t="shared" si="0"/>
        <v>'44':0,</v>
      </c>
      <c r="D45" t="s">
        <v>43</v>
      </c>
      <c r="E45">
        <v>0.1229</v>
      </c>
      <c r="H45" t="str">
        <f t="shared" si="1"/>
        <v>,sum(floor(45n44))</v>
      </c>
    </row>
    <row r="46" spans="1:8" x14ac:dyDescent="0.3">
      <c r="A46">
        <v>45</v>
      </c>
      <c r="B46" t="str">
        <f t="shared" si="0"/>
        <v>'45':0,</v>
      </c>
      <c r="D46" t="s">
        <v>44</v>
      </c>
      <c r="E46">
        <v>0.14380000000000001</v>
      </c>
      <c r="H46" t="str">
        <f t="shared" si="1"/>
        <v>,sum(floor(45n45))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DF3E-B88F-45B1-87DF-AFB3CB142554}">
  <dimension ref="A1:AU15"/>
  <sheetViews>
    <sheetView topLeftCell="X1" workbookViewId="0">
      <selection activeCell="B14" sqref="B14:AU15"/>
    </sheetView>
  </sheetViews>
  <sheetFormatPr defaultRowHeight="16.5" x14ac:dyDescent="0.3"/>
  <cols>
    <col min="1" max="1" width="15.875" bestFit="1" customWidth="1"/>
  </cols>
  <sheetData>
    <row r="1" spans="1:47" x14ac:dyDescent="0.3">
      <c r="A1" t="s">
        <v>45</v>
      </c>
      <c r="B1">
        <v>4.8427077114750597E-2</v>
      </c>
      <c r="D1">
        <f>45 * B1</f>
        <v>2.1792184701637769</v>
      </c>
    </row>
    <row r="2" spans="1:47" x14ac:dyDescent="0.3">
      <c r="A2" t="s">
        <v>46</v>
      </c>
      <c r="B2">
        <v>9.4589508656267002E-2</v>
      </c>
      <c r="D2">
        <f t="shared" ref="D2:D6" si="0">45 * B2</f>
        <v>4.2565278895320153</v>
      </c>
    </row>
    <row r="3" spans="1:47" x14ac:dyDescent="0.3">
      <c r="A3" t="s">
        <v>47</v>
      </c>
      <c r="B3">
        <v>0.14435331066524701</v>
      </c>
      <c r="D3">
        <f t="shared" si="0"/>
        <v>6.4958989799361158</v>
      </c>
    </row>
    <row r="4" spans="1:47" x14ac:dyDescent="0.3">
      <c r="A4" t="s">
        <v>48</v>
      </c>
      <c r="B4">
        <v>0.18978249020167601</v>
      </c>
      <c r="D4">
        <f t="shared" si="0"/>
        <v>8.5402120590754205</v>
      </c>
    </row>
    <row r="5" spans="1:47" x14ac:dyDescent="0.3">
      <c r="A5" t="s">
        <v>49</v>
      </c>
      <c r="B5">
        <v>0.237353025151192</v>
      </c>
      <c r="D5">
        <f t="shared" si="0"/>
        <v>10.680886131803639</v>
      </c>
    </row>
    <row r="6" spans="1:47" x14ac:dyDescent="0.3">
      <c r="A6" t="s">
        <v>50</v>
      </c>
      <c r="B6">
        <v>0.28549458821086499</v>
      </c>
      <c r="D6">
        <f t="shared" si="0"/>
        <v>12.847256469488924</v>
      </c>
    </row>
    <row r="10" spans="1:47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69</v>
      </c>
      <c r="T10" t="s">
        <v>70</v>
      </c>
      <c r="U10" t="s">
        <v>71</v>
      </c>
      <c r="V10" t="s">
        <v>72</v>
      </c>
      <c r="W10" t="s">
        <v>73</v>
      </c>
      <c r="X10" t="s">
        <v>74</v>
      </c>
      <c r="Y10" t="s">
        <v>75</v>
      </c>
      <c r="Z10" t="s">
        <v>76</v>
      </c>
      <c r="AA10" t="s">
        <v>77</v>
      </c>
      <c r="AB10" t="s">
        <v>78</v>
      </c>
      <c r="AC10" t="s">
        <v>79</v>
      </c>
      <c r="AD10" t="s">
        <v>80</v>
      </c>
      <c r="AE10" t="s">
        <v>81</v>
      </c>
      <c r="AF10" t="s">
        <v>82</v>
      </c>
      <c r="AG10" t="s">
        <v>83</v>
      </c>
      <c r="AH10" t="s">
        <v>84</v>
      </c>
      <c r="AI10" t="s">
        <v>85</v>
      </c>
      <c r="AJ10" t="s">
        <v>86</v>
      </c>
      <c r="AK10" t="s">
        <v>87</v>
      </c>
      <c r="AL10" t="s">
        <v>88</v>
      </c>
      <c r="AM10" t="s">
        <v>89</v>
      </c>
      <c r="AN10" t="s">
        <v>90</v>
      </c>
      <c r="AO10" t="s">
        <v>91</v>
      </c>
      <c r="AP10" t="s">
        <v>92</v>
      </c>
      <c r="AQ10" t="s">
        <v>93</v>
      </c>
      <c r="AR10" t="s">
        <v>94</v>
      </c>
      <c r="AS10" t="s">
        <v>95</v>
      </c>
      <c r="AT10" t="s">
        <v>96</v>
      </c>
    </row>
    <row r="11" spans="1:47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100</v>
      </c>
      <c r="I11" t="s">
        <v>104</v>
      </c>
      <c r="J11" t="s">
        <v>105</v>
      </c>
      <c r="K11" t="s">
        <v>103</v>
      </c>
      <c r="L11" t="s">
        <v>106</v>
      </c>
      <c r="M11" t="s">
        <v>107</v>
      </c>
      <c r="N11" t="s">
        <v>108</v>
      </c>
      <c r="O11" t="s">
        <v>109</v>
      </c>
      <c r="P11" t="s">
        <v>99</v>
      </c>
      <c r="Q11" t="s">
        <v>110</v>
      </c>
      <c r="R11" t="s">
        <v>108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  <c r="X11" t="s">
        <v>116</v>
      </c>
      <c r="Y11" t="s">
        <v>117</v>
      </c>
      <c r="Z11" t="s">
        <v>118</v>
      </c>
      <c r="AA11" t="s">
        <v>119</v>
      </c>
      <c r="AB11" t="s">
        <v>120</v>
      </c>
      <c r="AC11" t="s">
        <v>121</v>
      </c>
      <c r="AD11" t="s">
        <v>122</v>
      </c>
      <c r="AE11" t="s">
        <v>123</v>
      </c>
      <c r="AF11" t="s">
        <v>124</v>
      </c>
      <c r="AG11" t="s">
        <v>125</v>
      </c>
      <c r="AH11" t="s">
        <v>109</v>
      </c>
      <c r="AI11" t="s">
        <v>126</v>
      </c>
      <c r="AJ11" t="s">
        <v>127</v>
      </c>
      <c r="AK11" t="s">
        <v>114</v>
      </c>
      <c r="AL11" t="s">
        <v>119</v>
      </c>
      <c r="AM11" t="s">
        <v>117</v>
      </c>
      <c r="AN11" t="s">
        <v>128</v>
      </c>
      <c r="AO11" t="s">
        <v>98</v>
      </c>
      <c r="AP11" t="s">
        <v>121</v>
      </c>
      <c r="AQ11" t="s">
        <v>129</v>
      </c>
      <c r="AR11" t="s">
        <v>130</v>
      </c>
      <c r="AS11" t="s">
        <v>114</v>
      </c>
      <c r="AT11" t="s">
        <v>98</v>
      </c>
    </row>
    <row r="14" spans="1:47" ht="49.5" x14ac:dyDescent="0.3">
      <c r="A14" s="4"/>
      <c r="B14" s="4" t="s">
        <v>135</v>
      </c>
      <c r="C14" s="4" t="s">
        <v>136</v>
      </c>
      <c r="D14" s="4" t="s">
        <v>137</v>
      </c>
      <c r="E14" s="4" t="s">
        <v>138</v>
      </c>
      <c r="F14" s="4" t="s">
        <v>139</v>
      </c>
      <c r="G14" s="4" t="s">
        <v>140</v>
      </c>
      <c r="H14" s="4" t="s">
        <v>141</v>
      </c>
      <c r="I14" s="4" t="s">
        <v>142</v>
      </c>
      <c r="J14" s="4" t="s">
        <v>143</v>
      </c>
      <c r="K14" s="4" t="s">
        <v>144</v>
      </c>
      <c r="L14" s="4" t="s">
        <v>145</v>
      </c>
      <c r="M14" s="4" t="s">
        <v>146</v>
      </c>
      <c r="N14" s="4" t="s">
        <v>147</v>
      </c>
      <c r="O14" s="4" t="s">
        <v>148</v>
      </c>
      <c r="P14" s="4" t="s">
        <v>149</v>
      </c>
      <c r="Q14" s="4" t="s">
        <v>150</v>
      </c>
      <c r="R14" s="4" t="s">
        <v>151</v>
      </c>
      <c r="S14" s="4" t="s">
        <v>152</v>
      </c>
      <c r="T14" s="4" t="s">
        <v>153</v>
      </c>
      <c r="U14" s="4" t="s">
        <v>154</v>
      </c>
      <c r="V14" s="4" t="s">
        <v>155</v>
      </c>
      <c r="W14" s="4" t="s">
        <v>156</v>
      </c>
      <c r="X14" s="4" t="s">
        <v>157</v>
      </c>
      <c r="Y14" s="4" t="s">
        <v>158</v>
      </c>
      <c r="Z14" s="4" t="s">
        <v>159</v>
      </c>
      <c r="AA14" s="4" t="s">
        <v>160</v>
      </c>
      <c r="AB14" s="4" t="s">
        <v>161</v>
      </c>
      <c r="AC14" s="4" t="s">
        <v>162</v>
      </c>
      <c r="AD14" s="4" t="s">
        <v>163</v>
      </c>
      <c r="AE14" s="4" t="s">
        <v>164</v>
      </c>
      <c r="AF14" s="4" t="s">
        <v>165</v>
      </c>
      <c r="AG14" s="4" t="s">
        <v>166</v>
      </c>
      <c r="AH14" s="4" t="s">
        <v>167</v>
      </c>
      <c r="AI14" s="4" t="s">
        <v>168</v>
      </c>
      <c r="AJ14" s="4" t="s">
        <v>169</v>
      </c>
      <c r="AK14" s="4" t="s">
        <v>170</v>
      </c>
      <c r="AL14" s="4" t="s">
        <v>171</v>
      </c>
      <c r="AM14" s="4" t="s">
        <v>172</v>
      </c>
      <c r="AN14" s="4" t="s">
        <v>173</v>
      </c>
      <c r="AO14" s="4" t="s">
        <v>174</v>
      </c>
      <c r="AP14" s="4" t="s">
        <v>175</v>
      </c>
      <c r="AQ14" s="4" t="s">
        <v>176</v>
      </c>
      <c r="AR14" s="4" t="s">
        <v>177</v>
      </c>
      <c r="AS14" s="4" t="s">
        <v>178</v>
      </c>
      <c r="AT14" s="4" t="s">
        <v>179</v>
      </c>
      <c r="AU14" s="4" t="s">
        <v>180</v>
      </c>
    </row>
    <row r="15" spans="1:47" x14ac:dyDescent="0.3">
      <c r="A15" s="5"/>
      <c r="B15" s="6">
        <v>1112</v>
      </c>
      <c r="C15" s="6">
        <v>154</v>
      </c>
      <c r="D15" s="6">
        <v>142</v>
      </c>
      <c r="E15" s="6">
        <v>151</v>
      </c>
      <c r="F15" s="6">
        <v>148</v>
      </c>
      <c r="G15" s="6">
        <v>140</v>
      </c>
      <c r="H15" s="6">
        <v>146</v>
      </c>
      <c r="I15" s="6">
        <v>151</v>
      </c>
      <c r="J15" s="6">
        <v>142</v>
      </c>
      <c r="K15" s="6">
        <v>116</v>
      </c>
      <c r="L15" s="6">
        <v>148</v>
      </c>
      <c r="M15" s="6">
        <v>150</v>
      </c>
      <c r="N15" s="6">
        <v>162</v>
      </c>
      <c r="O15" s="6">
        <v>158</v>
      </c>
      <c r="P15" s="6">
        <v>160</v>
      </c>
      <c r="Q15" s="6">
        <v>146</v>
      </c>
      <c r="R15" s="6">
        <v>147</v>
      </c>
      <c r="S15" s="6">
        <v>156</v>
      </c>
      <c r="T15" s="6">
        <v>164</v>
      </c>
      <c r="U15" s="6">
        <v>149</v>
      </c>
      <c r="V15" s="6">
        <v>155</v>
      </c>
      <c r="W15" s="6">
        <v>150</v>
      </c>
      <c r="X15" s="6">
        <v>134</v>
      </c>
      <c r="Y15" s="6">
        <v>135</v>
      </c>
      <c r="Z15" s="6">
        <v>148</v>
      </c>
      <c r="AA15" s="6">
        <v>137</v>
      </c>
      <c r="AB15" s="6">
        <v>151</v>
      </c>
      <c r="AC15" s="6">
        <v>158</v>
      </c>
      <c r="AD15" s="6">
        <v>135</v>
      </c>
      <c r="AE15" s="6">
        <v>140</v>
      </c>
      <c r="AF15" s="6">
        <v>139</v>
      </c>
      <c r="AG15" s="6">
        <v>149</v>
      </c>
      <c r="AH15" s="6">
        <v>129</v>
      </c>
      <c r="AI15" s="6">
        <v>156</v>
      </c>
      <c r="AJ15" s="6">
        <v>168</v>
      </c>
      <c r="AK15" s="6">
        <v>146</v>
      </c>
      <c r="AL15" s="6">
        <v>149</v>
      </c>
      <c r="AM15" s="6">
        <v>154</v>
      </c>
      <c r="AN15" s="6">
        <v>149</v>
      </c>
      <c r="AO15" s="6">
        <v>153</v>
      </c>
      <c r="AP15" s="6">
        <v>159</v>
      </c>
      <c r="AQ15" s="6">
        <v>137</v>
      </c>
      <c r="AR15" s="6">
        <v>144</v>
      </c>
      <c r="AS15" s="6">
        <v>157</v>
      </c>
      <c r="AT15" s="6">
        <v>149</v>
      </c>
      <c r="AU15" s="6">
        <v>161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4CF8-C952-456F-B1BE-EBB3073758BC}">
  <dimension ref="A1:N46"/>
  <sheetViews>
    <sheetView topLeftCell="A7" workbookViewId="0">
      <selection activeCell="N41" sqref="N41"/>
    </sheetView>
  </sheetViews>
  <sheetFormatPr defaultRowHeight="16.5" x14ac:dyDescent="0.3"/>
  <cols>
    <col min="1" max="1" width="12.25" bestFit="1" customWidth="1"/>
    <col min="2" max="2" width="7.25" style="2" bestFit="1" customWidth="1"/>
    <col min="8" max="9" width="17.375" customWidth="1"/>
  </cols>
  <sheetData>
    <row r="1" spans="1:14" x14ac:dyDescent="0.3">
      <c r="A1" t="s">
        <v>51</v>
      </c>
      <c r="B1" s="2">
        <v>1112</v>
      </c>
      <c r="C1" t="s">
        <v>132</v>
      </c>
      <c r="D1" t="s">
        <v>131</v>
      </c>
      <c r="E1" t="s">
        <v>133</v>
      </c>
      <c r="H1" s="4" t="s">
        <v>135</v>
      </c>
      <c r="I1" s="6">
        <v>1112</v>
      </c>
      <c r="J1" t="s">
        <v>132</v>
      </c>
      <c r="K1" t="s">
        <v>131</v>
      </c>
      <c r="L1" t="s">
        <v>133</v>
      </c>
      <c r="M1" t="s">
        <v>181</v>
      </c>
    </row>
    <row r="2" spans="1:14" x14ac:dyDescent="0.3">
      <c r="A2" t="s">
        <v>52</v>
      </c>
      <c r="B2" s="2">
        <v>169.5</v>
      </c>
      <c r="C2">
        <f>RANK(B2,B$2:B50)</f>
        <v>10</v>
      </c>
      <c r="D2">
        <v>1</v>
      </c>
      <c r="H2" s="4" t="s">
        <v>136</v>
      </c>
      <c r="I2" s="6">
        <v>154</v>
      </c>
      <c r="J2">
        <f>RANK(I2,I$2:I50)</f>
        <v>13</v>
      </c>
      <c r="K2">
        <v>1</v>
      </c>
    </row>
    <row r="3" spans="1:14" x14ac:dyDescent="0.3">
      <c r="A3" t="s">
        <v>53</v>
      </c>
      <c r="B3" s="2">
        <v>158</v>
      </c>
      <c r="C3">
        <f>RANK(B3,B$2:B51)</f>
        <v>32</v>
      </c>
      <c r="D3">
        <v>2</v>
      </c>
      <c r="H3" s="4" t="s">
        <v>137</v>
      </c>
      <c r="I3" s="6">
        <v>142</v>
      </c>
      <c r="J3">
        <f>RANK(I3,I$2:I51)</f>
        <v>34</v>
      </c>
      <c r="K3">
        <v>2</v>
      </c>
    </row>
    <row r="4" spans="1:14" x14ac:dyDescent="0.3">
      <c r="A4" t="s">
        <v>54</v>
      </c>
      <c r="B4" s="2">
        <v>164</v>
      </c>
      <c r="C4">
        <f>RANK(B4,B$2:B52)</f>
        <v>18</v>
      </c>
      <c r="D4">
        <v>3</v>
      </c>
      <c r="H4" s="4" t="s">
        <v>138</v>
      </c>
      <c r="I4" s="6">
        <v>151</v>
      </c>
      <c r="J4">
        <f>RANK(I4,I$2:I52)</f>
        <v>16</v>
      </c>
      <c r="K4">
        <v>3</v>
      </c>
    </row>
    <row r="5" spans="1:14" x14ac:dyDescent="0.3">
      <c r="A5" t="s">
        <v>55</v>
      </c>
      <c r="B5" s="2">
        <v>164.5</v>
      </c>
      <c r="C5">
        <f>RANK(B5,B$2:B53)</f>
        <v>17</v>
      </c>
      <c r="D5">
        <v>4</v>
      </c>
      <c r="H5" s="4" t="s">
        <v>139</v>
      </c>
      <c r="I5" s="6">
        <v>148</v>
      </c>
      <c r="J5">
        <f>RANK(I5,I$2:I53)</f>
        <v>26</v>
      </c>
      <c r="K5">
        <v>4</v>
      </c>
    </row>
    <row r="6" spans="1:14" x14ac:dyDescent="0.3">
      <c r="A6" t="s">
        <v>56</v>
      </c>
      <c r="B6" s="2">
        <v>151</v>
      </c>
      <c r="C6">
        <f>RANK(B6,B$2:B54)</f>
        <v>37</v>
      </c>
      <c r="D6">
        <v>5</v>
      </c>
      <c r="H6" s="4" t="s">
        <v>140</v>
      </c>
      <c r="I6" s="6">
        <v>140</v>
      </c>
      <c r="J6">
        <f>RANK(I6,I$2:I54)</f>
        <v>36</v>
      </c>
      <c r="K6">
        <v>5</v>
      </c>
    </row>
    <row r="7" spans="1:14" x14ac:dyDescent="0.3">
      <c r="A7" t="s">
        <v>57</v>
      </c>
      <c r="B7" s="2">
        <v>161.5</v>
      </c>
      <c r="C7">
        <f>RANK(B7,B$2:B55)</f>
        <v>24</v>
      </c>
      <c r="D7">
        <v>6</v>
      </c>
      <c r="E7">
        <v>6</v>
      </c>
      <c r="H7" s="4" t="s">
        <v>141</v>
      </c>
      <c r="I7" s="6">
        <v>146</v>
      </c>
      <c r="J7">
        <f>RANK(I7,I$2:I55)</f>
        <v>30</v>
      </c>
      <c r="K7">
        <v>6</v>
      </c>
      <c r="L7">
        <v>6</v>
      </c>
    </row>
    <row r="8" spans="1:14" x14ac:dyDescent="0.3">
      <c r="A8" t="s">
        <v>58</v>
      </c>
      <c r="B8" s="2">
        <v>164</v>
      </c>
      <c r="C8">
        <f>RANK(B8,B$2:B56)</f>
        <v>18</v>
      </c>
      <c r="D8">
        <v>7</v>
      </c>
      <c r="H8" s="4" t="s">
        <v>142</v>
      </c>
      <c r="I8" s="6">
        <v>151</v>
      </c>
      <c r="J8">
        <f>RANK(I8,I$2:I56)</f>
        <v>16</v>
      </c>
      <c r="K8">
        <v>7</v>
      </c>
      <c r="M8">
        <v>7</v>
      </c>
      <c r="N8">
        <v>7</v>
      </c>
    </row>
    <row r="9" spans="1:14" x14ac:dyDescent="0.3">
      <c r="A9" t="s">
        <v>59</v>
      </c>
      <c r="B9" s="2">
        <v>152</v>
      </c>
      <c r="C9">
        <f>RANK(B9,B$2:B57)</f>
        <v>36</v>
      </c>
      <c r="D9">
        <v>8</v>
      </c>
      <c r="H9" s="4" t="s">
        <v>143</v>
      </c>
      <c r="I9" s="6">
        <v>142</v>
      </c>
      <c r="J9">
        <f>RANK(I9,I$2:I57)</f>
        <v>34</v>
      </c>
      <c r="K9">
        <v>8</v>
      </c>
    </row>
    <row r="10" spans="1:14" x14ac:dyDescent="0.3">
      <c r="A10" t="s">
        <v>60</v>
      </c>
      <c r="B10" s="2">
        <v>128</v>
      </c>
      <c r="C10">
        <f>RANK(B10,B$2:B58)</f>
        <v>45</v>
      </c>
      <c r="D10">
        <v>9</v>
      </c>
      <c r="H10" s="4" t="s">
        <v>144</v>
      </c>
      <c r="I10" s="6">
        <v>116</v>
      </c>
      <c r="J10">
        <f>RANK(I10,I$2:I58)</f>
        <v>45</v>
      </c>
      <c r="K10">
        <v>9</v>
      </c>
    </row>
    <row r="11" spans="1:14" x14ac:dyDescent="0.3">
      <c r="A11" t="s">
        <v>61</v>
      </c>
      <c r="B11" s="2">
        <v>161.5</v>
      </c>
      <c r="C11">
        <f>RANK(B11,B$2:B59)</f>
        <v>24</v>
      </c>
      <c r="D11">
        <v>10</v>
      </c>
      <c r="H11" s="4" t="s">
        <v>145</v>
      </c>
      <c r="I11" s="6">
        <v>148</v>
      </c>
      <c r="J11">
        <f>RANK(I11,I$2:I59)</f>
        <v>26</v>
      </c>
      <c r="K11">
        <v>10</v>
      </c>
    </row>
    <row r="12" spans="1:14" x14ac:dyDescent="0.3">
      <c r="A12" t="s">
        <v>62</v>
      </c>
      <c r="B12" s="2">
        <v>162</v>
      </c>
      <c r="C12">
        <f>RANK(B12,B$2:B60)</f>
        <v>23</v>
      </c>
      <c r="D12">
        <v>11</v>
      </c>
      <c r="H12" s="4" t="s">
        <v>146</v>
      </c>
      <c r="I12" s="6">
        <v>150</v>
      </c>
      <c r="J12">
        <f>RANK(I12,I$2:I60)</f>
        <v>19</v>
      </c>
      <c r="K12">
        <v>11</v>
      </c>
    </row>
    <row r="13" spans="1:14" x14ac:dyDescent="0.3">
      <c r="A13" t="s">
        <v>63</v>
      </c>
      <c r="B13" s="2">
        <v>175.5</v>
      </c>
      <c r="C13">
        <f>RANK(B13,B$2:B61)</f>
        <v>2</v>
      </c>
      <c r="D13" s="3">
        <v>12</v>
      </c>
      <c r="E13">
        <v>12</v>
      </c>
      <c r="H13" s="4" t="s">
        <v>147</v>
      </c>
      <c r="I13" s="6">
        <v>162</v>
      </c>
      <c r="J13">
        <f>RANK(I13,I$2:I61)</f>
        <v>3</v>
      </c>
      <c r="K13" s="8">
        <v>12</v>
      </c>
      <c r="L13">
        <v>12</v>
      </c>
    </row>
    <row r="14" spans="1:14" x14ac:dyDescent="0.3">
      <c r="A14" t="s">
        <v>64</v>
      </c>
      <c r="B14" s="2">
        <v>171</v>
      </c>
      <c r="C14">
        <f>RANK(B14,B$2:B62)</f>
        <v>6</v>
      </c>
      <c r="D14" s="3">
        <v>13</v>
      </c>
      <c r="H14" s="4" t="s">
        <v>148</v>
      </c>
      <c r="I14" s="6">
        <v>158</v>
      </c>
      <c r="J14">
        <f>RANK(I14,I$2:I62)</f>
        <v>7</v>
      </c>
      <c r="K14" s="7">
        <v>13</v>
      </c>
      <c r="M14">
        <v>13</v>
      </c>
      <c r="N14">
        <v>13</v>
      </c>
    </row>
    <row r="15" spans="1:14" x14ac:dyDescent="0.3">
      <c r="A15" t="s">
        <v>65</v>
      </c>
      <c r="B15" s="2">
        <v>170.5</v>
      </c>
      <c r="C15">
        <f>RANK(B15,B$2:B63)</f>
        <v>8</v>
      </c>
      <c r="D15">
        <v>14</v>
      </c>
      <c r="H15" s="4" t="s">
        <v>149</v>
      </c>
      <c r="I15" s="6">
        <v>160</v>
      </c>
      <c r="J15">
        <f>RANK(I15,I$2:I63)</f>
        <v>5</v>
      </c>
      <c r="K15" s="8">
        <v>14</v>
      </c>
    </row>
    <row r="16" spans="1:14" x14ac:dyDescent="0.3">
      <c r="A16" t="s">
        <v>66</v>
      </c>
      <c r="B16" s="2">
        <v>158</v>
      </c>
      <c r="C16">
        <f>RANK(B16,B$2:B64)</f>
        <v>32</v>
      </c>
      <c r="D16">
        <v>15</v>
      </c>
      <c r="H16" s="4" t="s">
        <v>150</v>
      </c>
      <c r="I16" s="6">
        <v>146</v>
      </c>
      <c r="J16">
        <f>RANK(I16,I$2:I64)</f>
        <v>30</v>
      </c>
      <c r="K16">
        <v>15</v>
      </c>
    </row>
    <row r="17" spans="1:14" x14ac:dyDescent="0.3">
      <c r="A17" t="s">
        <v>67</v>
      </c>
      <c r="B17" s="2">
        <v>160.5</v>
      </c>
      <c r="C17">
        <f>RANK(B17,B$2:B65)</f>
        <v>29</v>
      </c>
      <c r="D17">
        <v>16</v>
      </c>
      <c r="H17" s="4" t="s">
        <v>151</v>
      </c>
      <c r="I17" s="6">
        <v>147</v>
      </c>
      <c r="J17">
        <f>RANK(I17,I$2:I65)</f>
        <v>29</v>
      </c>
      <c r="K17">
        <v>16</v>
      </c>
    </row>
    <row r="18" spans="1:14" x14ac:dyDescent="0.3">
      <c r="A18" t="s">
        <v>68</v>
      </c>
      <c r="B18" s="2">
        <v>171</v>
      </c>
      <c r="C18">
        <f>RANK(B18,B$2:B66)</f>
        <v>6</v>
      </c>
      <c r="D18" s="3">
        <v>17</v>
      </c>
      <c r="H18" s="4" t="s">
        <v>152</v>
      </c>
      <c r="I18" s="6">
        <v>156</v>
      </c>
      <c r="J18">
        <f>RANK(I18,I$2:I66)</f>
        <v>10</v>
      </c>
      <c r="K18" s="7">
        <v>17</v>
      </c>
    </row>
    <row r="19" spans="1:14" x14ac:dyDescent="0.3">
      <c r="A19" t="s">
        <v>69</v>
      </c>
      <c r="B19" s="2">
        <v>173</v>
      </c>
      <c r="C19">
        <f>RANK(B19,B$2:B67)</f>
        <v>4</v>
      </c>
      <c r="D19" s="3">
        <v>18</v>
      </c>
      <c r="H19" s="4" t="s">
        <v>153</v>
      </c>
      <c r="I19" s="6">
        <v>164</v>
      </c>
      <c r="J19">
        <f>RANK(I19,I$2:I67)</f>
        <v>2</v>
      </c>
      <c r="K19" s="8">
        <v>18</v>
      </c>
    </row>
    <row r="20" spans="1:14" x14ac:dyDescent="0.3">
      <c r="A20" t="s">
        <v>70</v>
      </c>
      <c r="B20" s="2">
        <v>159</v>
      </c>
      <c r="C20">
        <f>RANK(B20,B$2:B68)</f>
        <v>31</v>
      </c>
      <c r="D20">
        <v>19</v>
      </c>
      <c r="E20">
        <v>19</v>
      </c>
      <c r="H20" s="4" t="s">
        <v>154</v>
      </c>
      <c r="I20" s="6">
        <v>149</v>
      </c>
      <c r="J20">
        <f>RANK(I20,I$2:I68)</f>
        <v>21</v>
      </c>
      <c r="K20">
        <v>19</v>
      </c>
      <c r="L20">
        <v>19</v>
      </c>
    </row>
    <row r="21" spans="1:14" x14ac:dyDescent="0.3">
      <c r="A21" t="s">
        <v>71</v>
      </c>
      <c r="B21" s="2">
        <v>168</v>
      </c>
      <c r="C21">
        <f>RANK(B21,B$2:B69)</f>
        <v>13</v>
      </c>
      <c r="D21">
        <v>20</v>
      </c>
      <c r="H21" s="4" t="s">
        <v>155</v>
      </c>
      <c r="I21" s="6">
        <v>155</v>
      </c>
      <c r="J21">
        <f>RANK(I21,I$2:I69)</f>
        <v>12</v>
      </c>
      <c r="K21">
        <v>20</v>
      </c>
      <c r="N21">
        <v>20</v>
      </c>
    </row>
    <row r="22" spans="1:14" x14ac:dyDescent="0.3">
      <c r="A22" t="s">
        <v>72</v>
      </c>
      <c r="B22" s="2">
        <v>161</v>
      </c>
      <c r="C22">
        <f>RANK(B22,B$2:B70)</f>
        <v>26</v>
      </c>
      <c r="D22">
        <v>21</v>
      </c>
      <c r="H22" s="4" t="s">
        <v>156</v>
      </c>
      <c r="I22" s="6">
        <v>150</v>
      </c>
      <c r="J22">
        <f>RANK(I22,I$2:I70)</f>
        <v>19</v>
      </c>
      <c r="K22">
        <v>21</v>
      </c>
    </row>
    <row r="23" spans="1:14" x14ac:dyDescent="0.3">
      <c r="A23" t="s">
        <v>73</v>
      </c>
      <c r="B23" s="2">
        <v>141</v>
      </c>
      <c r="C23">
        <f>RANK(B23,B$2:B71)</f>
        <v>44</v>
      </c>
      <c r="D23">
        <v>22</v>
      </c>
      <c r="H23" s="4" t="s">
        <v>157</v>
      </c>
      <c r="I23" s="6">
        <v>134</v>
      </c>
      <c r="J23">
        <f>RANK(I23,I$2:I71)</f>
        <v>43</v>
      </c>
      <c r="K23">
        <v>22</v>
      </c>
    </row>
    <row r="24" spans="1:14" x14ac:dyDescent="0.3">
      <c r="A24" t="s">
        <v>74</v>
      </c>
      <c r="B24" s="2">
        <v>144</v>
      </c>
      <c r="C24">
        <f>RANK(B24,B$2:B72)</f>
        <v>42</v>
      </c>
      <c r="D24">
        <v>23</v>
      </c>
      <c r="H24" s="4" t="s">
        <v>158</v>
      </c>
      <c r="I24" s="6">
        <v>135</v>
      </c>
      <c r="J24">
        <f>RANK(I24,I$2:I72)</f>
        <v>41</v>
      </c>
      <c r="K24">
        <v>23</v>
      </c>
    </row>
    <row r="25" spans="1:14" x14ac:dyDescent="0.3">
      <c r="A25" t="s">
        <v>75</v>
      </c>
      <c r="B25" s="2">
        <v>163</v>
      </c>
      <c r="C25">
        <f>RANK(B25,B$2:B73)</f>
        <v>20</v>
      </c>
      <c r="D25">
        <v>24</v>
      </c>
      <c r="E25">
        <v>24</v>
      </c>
      <c r="H25" s="4" t="s">
        <v>159</v>
      </c>
      <c r="I25" s="6">
        <v>148</v>
      </c>
      <c r="J25">
        <f>RANK(I25,I$2:I73)</f>
        <v>26</v>
      </c>
      <c r="K25">
        <v>24</v>
      </c>
      <c r="L25">
        <v>24</v>
      </c>
    </row>
    <row r="26" spans="1:14" x14ac:dyDescent="0.3">
      <c r="A26" t="s">
        <v>76</v>
      </c>
      <c r="B26" s="2">
        <v>146</v>
      </c>
      <c r="C26">
        <f>RANK(B26,B$2:B74)</f>
        <v>39</v>
      </c>
      <c r="D26">
        <v>25</v>
      </c>
      <c r="H26" s="4" t="s">
        <v>160</v>
      </c>
      <c r="I26" s="6">
        <v>137</v>
      </c>
      <c r="J26">
        <f>RANK(I26,I$2:I74)</f>
        <v>39</v>
      </c>
      <c r="K26">
        <v>25</v>
      </c>
    </row>
    <row r="27" spans="1:14" x14ac:dyDescent="0.3">
      <c r="A27" t="s">
        <v>77</v>
      </c>
      <c r="B27" s="2">
        <v>165.5</v>
      </c>
      <c r="C27">
        <f>RANK(B27,B$2:B75)</f>
        <v>14</v>
      </c>
      <c r="D27">
        <v>26</v>
      </c>
      <c r="H27" s="4" t="s">
        <v>161</v>
      </c>
      <c r="I27" s="6">
        <v>151</v>
      </c>
      <c r="J27">
        <f>RANK(I27,I$2:I75)</f>
        <v>16</v>
      </c>
      <c r="K27">
        <v>26</v>
      </c>
      <c r="M27">
        <v>26</v>
      </c>
      <c r="N27">
        <v>26</v>
      </c>
    </row>
    <row r="28" spans="1:14" x14ac:dyDescent="0.3">
      <c r="A28" t="s">
        <v>78</v>
      </c>
      <c r="B28" s="2">
        <v>172.5</v>
      </c>
      <c r="C28">
        <f>RANK(B28,B$2:B76)</f>
        <v>5</v>
      </c>
      <c r="D28" s="3">
        <v>27</v>
      </c>
      <c r="H28" s="4" t="s">
        <v>162</v>
      </c>
      <c r="I28" s="6">
        <v>158</v>
      </c>
      <c r="J28">
        <f>RANK(I28,I$2:I76)</f>
        <v>7</v>
      </c>
      <c r="K28" s="7">
        <v>27</v>
      </c>
    </row>
    <row r="29" spans="1:14" x14ac:dyDescent="0.3">
      <c r="A29" t="s">
        <v>79</v>
      </c>
      <c r="B29" s="2">
        <v>145.5</v>
      </c>
      <c r="C29">
        <f>RANK(B29,B$2:B77)</f>
        <v>40</v>
      </c>
      <c r="D29">
        <v>28</v>
      </c>
      <c r="H29" s="4" t="s">
        <v>163</v>
      </c>
      <c r="I29" s="6">
        <v>135</v>
      </c>
      <c r="J29">
        <f>RANK(I29,I$2:I77)</f>
        <v>41</v>
      </c>
      <c r="K29">
        <v>28</v>
      </c>
    </row>
    <row r="30" spans="1:14" x14ac:dyDescent="0.3">
      <c r="A30" t="s">
        <v>80</v>
      </c>
      <c r="B30" s="2">
        <v>147.5</v>
      </c>
      <c r="C30">
        <f>RANK(B30,B$2:B78)</f>
        <v>38</v>
      </c>
      <c r="D30">
        <v>29</v>
      </c>
      <c r="H30" s="4" t="s">
        <v>164</v>
      </c>
      <c r="I30" s="6">
        <v>140</v>
      </c>
      <c r="J30">
        <f>RANK(I30,I$2:I78)</f>
        <v>36</v>
      </c>
      <c r="K30">
        <v>29</v>
      </c>
    </row>
    <row r="31" spans="1:14" x14ac:dyDescent="0.3">
      <c r="A31" t="s">
        <v>81</v>
      </c>
      <c r="B31" s="2">
        <v>154</v>
      </c>
      <c r="C31">
        <f>RANK(B31,B$2:B79)</f>
        <v>35</v>
      </c>
      <c r="D31">
        <v>30</v>
      </c>
      <c r="H31" s="4" t="s">
        <v>165</v>
      </c>
      <c r="I31" s="6">
        <v>139</v>
      </c>
      <c r="J31">
        <f>RANK(I31,I$2:I79)</f>
        <v>38</v>
      </c>
      <c r="K31">
        <v>30</v>
      </c>
    </row>
    <row r="32" spans="1:14" x14ac:dyDescent="0.3">
      <c r="A32" t="s">
        <v>82</v>
      </c>
      <c r="B32" s="2">
        <v>162.5</v>
      </c>
      <c r="C32">
        <f>RANK(B32,B$2:B80)</f>
        <v>22</v>
      </c>
      <c r="D32">
        <v>31</v>
      </c>
      <c r="E32">
        <v>31</v>
      </c>
      <c r="H32" s="4" t="s">
        <v>166</v>
      </c>
      <c r="I32" s="6">
        <v>149</v>
      </c>
      <c r="J32">
        <f>RANK(I32,I$2:I80)</f>
        <v>21</v>
      </c>
      <c r="K32">
        <v>31</v>
      </c>
      <c r="L32">
        <v>31</v>
      </c>
    </row>
    <row r="33" spans="1:14" x14ac:dyDescent="0.3">
      <c r="A33" t="s">
        <v>83</v>
      </c>
      <c r="B33" s="2">
        <v>143.5</v>
      </c>
      <c r="C33">
        <f>RANK(B33,B$2:B81)</f>
        <v>43</v>
      </c>
      <c r="D33">
        <v>32</v>
      </c>
      <c r="H33" s="4" t="s">
        <v>167</v>
      </c>
      <c r="I33" s="6">
        <v>129</v>
      </c>
      <c r="J33">
        <f>RANK(I33,I$2:I81)</f>
        <v>44</v>
      </c>
      <c r="K33">
        <v>32</v>
      </c>
    </row>
    <row r="34" spans="1:14" x14ac:dyDescent="0.3">
      <c r="A34" t="s">
        <v>84</v>
      </c>
      <c r="B34" s="2">
        <v>170.5</v>
      </c>
      <c r="C34">
        <f>RANK(B34,B$2:B82)</f>
        <v>8</v>
      </c>
      <c r="D34">
        <v>33</v>
      </c>
      <c r="H34" s="4" t="s">
        <v>168</v>
      </c>
      <c r="I34" s="6">
        <v>156</v>
      </c>
      <c r="J34">
        <f>RANK(I34,I$2:I82)</f>
        <v>10</v>
      </c>
      <c r="K34" s="7">
        <v>33</v>
      </c>
      <c r="M34">
        <v>33</v>
      </c>
      <c r="N34">
        <v>33</v>
      </c>
    </row>
    <row r="35" spans="1:14" x14ac:dyDescent="0.3">
      <c r="A35" t="s">
        <v>85</v>
      </c>
      <c r="B35" s="2">
        <v>179</v>
      </c>
      <c r="C35">
        <f>RANK(B35,B$2:B83)</f>
        <v>1</v>
      </c>
      <c r="D35" s="3">
        <v>34</v>
      </c>
      <c r="H35" s="4" t="s">
        <v>169</v>
      </c>
      <c r="I35" s="6">
        <v>168</v>
      </c>
      <c r="J35">
        <f>RANK(I35,I$2:I83)</f>
        <v>1</v>
      </c>
      <c r="K35" s="8">
        <v>34</v>
      </c>
    </row>
    <row r="36" spans="1:14" x14ac:dyDescent="0.3">
      <c r="A36" t="s">
        <v>86</v>
      </c>
      <c r="B36" s="2">
        <v>160</v>
      </c>
      <c r="C36">
        <f>RANK(B36,B$2:B84)</f>
        <v>30</v>
      </c>
      <c r="D36">
        <v>35</v>
      </c>
      <c r="H36" s="4" t="s">
        <v>170</v>
      </c>
      <c r="I36" s="6">
        <v>146</v>
      </c>
      <c r="J36">
        <f>RANK(I36,I$2:I84)</f>
        <v>30</v>
      </c>
      <c r="K36">
        <v>35</v>
      </c>
    </row>
    <row r="37" spans="1:14" x14ac:dyDescent="0.3">
      <c r="A37" t="s">
        <v>87</v>
      </c>
      <c r="B37" s="2">
        <v>161</v>
      </c>
      <c r="C37">
        <f>RANK(B37,B$2:B85)</f>
        <v>26</v>
      </c>
      <c r="D37">
        <v>36</v>
      </c>
      <c r="H37" s="4" t="s">
        <v>171</v>
      </c>
      <c r="I37" s="6">
        <v>149</v>
      </c>
      <c r="J37">
        <f>RANK(I37,I$2:I85)</f>
        <v>21</v>
      </c>
      <c r="K37">
        <v>36</v>
      </c>
    </row>
    <row r="38" spans="1:14" x14ac:dyDescent="0.3">
      <c r="A38" t="s">
        <v>88</v>
      </c>
      <c r="B38" s="2">
        <v>165.5</v>
      </c>
      <c r="C38">
        <f>RANK(B38,B$2:B86)</f>
        <v>14</v>
      </c>
      <c r="D38">
        <v>37</v>
      </c>
      <c r="H38" s="4" t="s">
        <v>172</v>
      </c>
      <c r="I38" s="6">
        <v>154</v>
      </c>
      <c r="J38">
        <f>RANK(I38,I$2:I86)</f>
        <v>13</v>
      </c>
      <c r="K38">
        <v>37</v>
      </c>
    </row>
    <row r="39" spans="1:14" x14ac:dyDescent="0.3">
      <c r="A39" t="s">
        <v>89</v>
      </c>
      <c r="B39" s="2">
        <v>163</v>
      </c>
      <c r="C39">
        <f>RANK(B39,B$2:B87)</f>
        <v>20</v>
      </c>
      <c r="D39">
        <v>38</v>
      </c>
      <c r="H39" s="4" t="s">
        <v>173</v>
      </c>
      <c r="I39" s="6">
        <v>149</v>
      </c>
      <c r="J39">
        <f>RANK(I39,I$2:I87)</f>
        <v>21</v>
      </c>
      <c r="K39">
        <v>38</v>
      </c>
    </row>
    <row r="40" spans="1:14" x14ac:dyDescent="0.3">
      <c r="A40" t="s">
        <v>90</v>
      </c>
      <c r="B40" s="2">
        <v>165</v>
      </c>
      <c r="C40">
        <f>RANK(B40,B$2:B88)</f>
        <v>16</v>
      </c>
      <c r="D40">
        <v>39</v>
      </c>
      <c r="E40">
        <v>39</v>
      </c>
      <c r="H40" s="4" t="s">
        <v>174</v>
      </c>
      <c r="I40" s="6">
        <v>153</v>
      </c>
      <c r="J40">
        <f>RANK(I40,I$2:I88)</f>
        <v>15</v>
      </c>
      <c r="K40">
        <v>39</v>
      </c>
      <c r="L40">
        <v>39</v>
      </c>
    </row>
    <row r="41" spans="1:14" x14ac:dyDescent="0.3">
      <c r="A41" t="s">
        <v>91</v>
      </c>
      <c r="B41" s="2">
        <v>169.5</v>
      </c>
      <c r="C41">
        <f>RANK(B41,B$2:B89)</f>
        <v>10</v>
      </c>
      <c r="D41">
        <v>40</v>
      </c>
      <c r="H41" s="4" t="s">
        <v>175</v>
      </c>
      <c r="I41" s="6">
        <v>159</v>
      </c>
      <c r="J41">
        <f>RANK(I41,I$2:I89)</f>
        <v>6</v>
      </c>
      <c r="K41" s="8">
        <v>40</v>
      </c>
      <c r="M41">
        <v>40</v>
      </c>
      <c r="N41">
        <v>40</v>
      </c>
    </row>
    <row r="42" spans="1:14" x14ac:dyDescent="0.3">
      <c r="A42" t="s">
        <v>92</v>
      </c>
      <c r="B42" s="2">
        <v>145.5</v>
      </c>
      <c r="C42">
        <f>RANK(B42,B$2:B90)</f>
        <v>40</v>
      </c>
      <c r="D42">
        <v>41</v>
      </c>
      <c r="H42" s="4" t="s">
        <v>176</v>
      </c>
      <c r="I42" s="6">
        <v>137</v>
      </c>
      <c r="J42">
        <f>RANK(I42,I$2:I90)</f>
        <v>39</v>
      </c>
      <c r="K42">
        <v>41</v>
      </c>
    </row>
    <row r="43" spans="1:14" x14ac:dyDescent="0.3">
      <c r="A43" t="s">
        <v>93</v>
      </c>
      <c r="B43" s="2">
        <v>155.5</v>
      </c>
      <c r="C43">
        <f>RANK(B43,B$2:B91)</f>
        <v>34</v>
      </c>
      <c r="D43">
        <v>42</v>
      </c>
      <c r="H43" s="4" t="s">
        <v>177</v>
      </c>
      <c r="I43" s="6">
        <v>144</v>
      </c>
      <c r="J43">
        <f>RANK(I43,I$2:I91)</f>
        <v>33</v>
      </c>
      <c r="K43">
        <v>42</v>
      </c>
    </row>
    <row r="44" spans="1:14" x14ac:dyDescent="0.3">
      <c r="A44" t="s">
        <v>94</v>
      </c>
      <c r="B44" s="2">
        <v>174.5</v>
      </c>
      <c r="C44">
        <f>RANK(B44,B$2:B92)</f>
        <v>3</v>
      </c>
      <c r="D44" s="3">
        <v>43</v>
      </c>
      <c r="H44" s="4" t="s">
        <v>178</v>
      </c>
      <c r="I44" s="6">
        <v>157</v>
      </c>
      <c r="J44">
        <f>RANK(I44,I$2:I92)</f>
        <v>9</v>
      </c>
      <c r="K44" s="7">
        <v>43</v>
      </c>
    </row>
    <row r="45" spans="1:14" x14ac:dyDescent="0.3">
      <c r="A45" t="s">
        <v>95</v>
      </c>
      <c r="B45" s="2">
        <v>161</v>
      </c>
      <c r="C45">
        <f>RANK(B45,B$2:B93)</f>
        <v>26</v>
      </c>
      <c r="D45">
        <v>44</v>
      </c>
      <c r="H45" s="4" t="s">
        <v>179</v>
      </c>
      <c r="I45" s="6">
        <v>149</v>
      </c>
      <c r="J45">
        <f>RANK(I45,I$2:I93)</f>
        <v>21</v>
      </c>
      <c r="K45">
        <v>44</v>
      </c>
    </row>
    <row r="46" spans="1:14" x14ac:dyDescent="0.3">
      <c r="A46" t="s">
        <v>96</v>
      </c>
      <c r="B46" s="2">
        <v>169.5</v>
      </c>
      <c r="C46">
        <f>RANK(B46,B$2:B94)</f>
        <v>10</v>
      </c>
      <c r="D46">
        <v>45</v>
      </c>
      <c r="H46" s="4" t="s">
        <v>180</v>
      </c>
      <c r="I46" s="6">
        <v>161</v>
      </c>
      <c r="J46">
        <f>RANK(I46,I$2:I94)</f>
        <v>4</v>
      </c>
      <c r="K46" s="8">
        <v>45</v>
      </c>
    </row>
  </sheetData>
  <autoFilter ref="A1:L1" xr:uid="{61284CF8-C952-456F-B1BE-EBB3073758BC}">
    <sortState xmlns:xlrd2="http://schemas.microsoft.com/office/spreadsheetml/2017/richdata2" ref="A2:L46">
      <sortCondition ref="K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A35F-1434-4E4E-BA0D-6611E712CADE}">
  <dimension ref="A1:P46"/>
  <sheetViews>
    <sheetView tabSelected="1" zoomScale="115" zoomScaleNormal="115" workbookViewId="0">
      <selection activeCell="C12" sqref="C12"/>
    </sheetView>
  </sheetViews>
  <sheetFormatPr defaultRowHeight="16.5" x14ac:dyDescent="0.3"/>
  <cols>
    <col min="1" max="1" width="27.25" bestFit="1" customWidth="1"/>
  </cols>
  <sheetData>
    <row r="1" spans="1:16" x14ac:dyDescent="0.3"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</row>
    <row r="2" spans="1:16" x14ac:dyDescent="0.3">
      <c r="A2">
        <v>4</v>
      </c>
      <c r="B2">
        <v>10</v>
      </c>
      <c r="C2">
        <v>16</v>
      </c>
      <c r="D2">
        <v>21</v>
      </c>
      <c r="E2">
        <v>27</v>
      </c>
      <c r="F2">
        <v>36</v>
      </c>
      <c r="J2" s="9">
        <v>1</v>
      </c>
      <c r="K2" s="9">
        <f>COUNTIFS($A$2:$F$2,$J2)</f>
        <v>0</v>
      </c>
      <c r="L2" s="9">
        <f>COUNTIFS($A$3:$F$3,$J2)</f>
        <v>0</v>
      </c>
      <c r="M2" s="9">
        <f>COUNTIFS($A$4:$F$4,$J2)</f>
        <v>0</v>
      </c>
      <c r="N2" s="9">
        <f>COUNTIFS($A$5:$F$5,$J2)</f>
        <v>0</v>
      </c>
      <c r="O2" s="9">
        <f>COUNTIFS($A$6:$F$6,$J2)</f>
        <v>0</v>
      </c>
      <c r="P2" s="9">
        <f>SUM(K2:O2)</f>
        <v>0</v>
      </c>
    </row>
    <row r="3" spans="1:16" x14ac:dyDescent="0.3">
      <c r="A3">
        <v>10</v>
      </c>
      <c r="B3">
        <v>12</v>
      </c>
      <c r="C3">
        <v>27</v>
      </c>
      <c r="D3">
        <v>30</v>
      </c>
      <c r="E3">
        <v>45</v>
      </c>
      <c r="F3">
        <v>45</v>
      </c>
      <c r="J3" s="12">
        <v>2</v>
      </c>
      <c r="K3" s="9">
        <f t="shared" ref="K3:K46" si="0">COUNTIFS($A$2:$F$2,$J3)</f>
        <v>0</v>
      </c>
      <c r="L3" s="9">
        <f t="shared" ref="L3:L46" si="1">COUNTIFS($A$3:$F$3,$J3)</f>
        <v>0</v>
      </c>
      <c r="M3" s="9">
        <f t="shared" ref="M3:M46" si="2">COUNTIFS($A$4:$F$4,$J3)</f>
        <v>1</v>
      </c>
      <c r="N3" s="9">
        <f t="shared" ref="N3:N46" si="3">COUNTIFS($A$5:$F$5,$J3)</f>
        <v>0</v>
      </c>
      <c r="O3" s="9">
        <f t="shared" ref="O3:O46" si="4">COUNTIFS($A$6:$F$6,$J3)</f>
        <v>0</v>
      </c>
      <c r="P3" s="9">
        <f t="shared" ref="P3:P46" si="5">SUM(K3:O3)</f>
        <v>1</v>
      </c>
    </row>
    <row r="4" spans="1:16" x14ac:dyDescent="0.3">
      <c r="A4" s="3">
        <v>2</v>
      </c>
      <c r="B4" s="3">
        <v>6</v>
      </c>
      <c r="C4" s="3">
        <v>18</v>
      </c>
      <c r="D4" s="3">
        <v>23</v>
      </c>
      <c r="E4" s="3">
        <v>31</v>
      </c>
      <c r="F4" s="3">
        <v>39</v>
      </c>
      <c r="J4" s="9">
        <v>3</v>
      </c>
      <c r="K4" s="9">
        <f t="shared" si="0"/>
        <v>0</v>
      </c>
      <c r="L4" s="9">
        <f t="shared" si="1"/>
        <v>0</v>
      </c>
      <c r="M4" s="9">
        <f t="shared" si="2"/>
        <v>0</v>
      </c>
      <c r="N4" s="9">
        <f t="shared" si="3"/>
        <v>0</v>
      </c>
      <c r="O4" s="9">
        <f t="shared" si="4"/>
        <v>0</v>
      </c>
      <c r="P4" s="9">
        <f t="shared" si="5"/>
        <v>0</v>
      </c>
    </row>
    <row r="5" spans="1:16" x14ac:dyDescent="0.3">
      <c r="A5" s="3">
        <v>12</v>
      </c>
      <c r="B5" s="3">
        <v>23</v>
      </c>
      <c r="C5" s="3">
        <v>31</v>
      </c>
      <c r="D5" s="3">
        <v>38</v>
      </c>
      <c r="E5" s="3">
        <v>43</v>
      </c>
      <c r="F5" s="3">
        <v>45</v>
      </c>
      <c r="J5" s="12">
        <v>4</v>
      </c>
      <c r="K5" s="9">
        <f t="shared" si="0"/>
        <v>1</v>
      </c>
      <c r="L5" s="9">
        <f t="shared" si="1"/>
        <v>0</v>
      </c>
      <c r="M5" s="9">
        <f t="shared" si="2"/>
        <v>0</v>
      </c>
      <c r="N5" s="9">
        <f t="shared" si="3"/>
        <v>0</v>
      </c>
      <c r="O5" s="9">
        <f t="shared" si="4"/>
        <v>0</v>
      </c>
      <c r="P5" s="9">
        <f t="shared" si="5"/>
        <v>1</v>
      </c>
    </row>
    <row r="6" spans="1:16" x14ac:dyDescent="0.3">
      <c r="A6" s="3">
        <v>6</v>
      </c>
      <c r="B6" s="3">
        <v>13</v>
      </c>
      <c r="C6" s="3">
        <v>20</v>
      </c>
      <c r="D6" s="3">
        <v>26</v>
      </c>
      <c r="E6" s="3">
        <v>33</v>
      </c>
      <c r="F6" s="3">
        <v>41</v>
      </c>
      <c r="J6" s="9">
        <v>5</v>
      </c>
      <c r="K6" s="9">
        <f t="shared" si="0"/>
        <v>0</v>
      </c>
      <c r="L6" s="9">
        <f t="shared" si="1"/>
        <v>0</v>
      </c>
      <c r="M6" s="9">
        <f t="shared" si="2"/>
        <v>0</v>
      </c>
      <c r="N6" s="9">
        <f t="shared" si="3"/>
        <v>0</v>
      </c>
      <c r="O6" s="9">
        <f t="shared" si="4"/>
        <v>0</v>
      </c>
      <c r="P6" s="9">
        <f t="shared" si="5"/>
        <v>0</v>
      </c>
    </row>
    <row r="7" spans="1:16" x14ac:dyDescent="0.3">
      <c r="J7" s="10">
        <v>6</v>
      </c>
      <c r="K7" s="9">
        <f t="shared" si="0"/>
        <v>0</v>
      </c>
      <c r="L7" s="9">
        <f t="shared" si="1"/>
        <v>0</v>
      </c>
      <c r="M7" s="9">
        <f t="shared" si="2"/>
        <v>1</v>
      </c>
      <c r="N7" s="9">
        <f t="shared" si="3"/>
        <v>0</v>
      </c>
      <c r="O7" s="9">
        <f t="shared" si="4"/>
        <v>1</v>
      </c>
      <c r="P7" s="9">
        <f t="shared" si="5"/>
        <v>2</v>
      </c>
    </row>
    <row r="8" spans="1:16" x14ac:dyDescent="0.3">
      <c r="J8" s="9">
        <v>7</v>
      </c>
      <c r="K8" s="9">
        <f t="shared" si="0"/>
        <v>0</v>
      </c>
      <c r="L8" s="9">
        <f t="shared" si="1"/>
        <v>0</v>
      </c>
      <c r="M8" s="9">
        <f t="shared" si="2"/>
        <v>0</v>
      </c>
      <c r="N8" s="9">
        <f t="shared" si="3"/>
        <v>0</v>
      </c>
      <c r="O8" s="9">
        <f t="shared" si="4"/>
        <v>0</v>
      </c>
      <c r="P8" s="9">
        <f t="shared" si="5"/>
        <v>0</v>
      </c>
    </row>
    <row r="9" spans="1:16" x14ac:dyDescent="0.3">
      <c r="J9" s="9">
        <v>8</v>
      </c>
      <c r="K9" s="9">
        <f t="shared" si="0"/>
        <v>0</v>
      </c>
      <c r="L9" s="9">
        <f t="shared" si="1"/>
        <v>0</v>
      </c>
      <c r="M9" s="9">
        <f t="shared" si="2"/>
        <v>0</v>
      </c>
      <c r="N9" s="9">
        <f t="shared" si="3"/>
        <v>0</v>
      </c>
      <c r="O9" s="9">
        <f t="shared" si="4"/>
        <v>0</v>
      </c>
      <c r="P9" s="9">
        <f t="shared" si="5"/>
        <v>0</v>
      </c>
    </row>
    <row r="10" spans="1:16" x14ac:dyDescent="0.3">
      <c r="J10" s="9">
        <v>9</v>
      </c>
      <c r="K10" s="9">
        <f t="shared" si="0"/>
        <v>0</v>
      </c>
      <c r="L10" s="9">
        <f t="shared" si="1"/>
        <v>0</v>
      </c>
      <c r="M10" s="9">
        <f t="shared" si="2"/>
        <v>0</v>
      </c>
      <c r="N10" s="9">
        <f t="shared" si="3"/>
        <v>0</v>
      </c>
      <c r="O10" s="9">
        <f t="shared" si="4"/>
        <v>0</v>
      </c>
      <c r="P10" s="9">
        <f t="shared" si="5"/>
        <v>0</v>
      </c>
    </row>
    <row r="11" spans="1:16" x14ac:dyDescent="0.3">
      <c r="J11" s="10">
        <v>10</v>
      </c>
      <c r="K11" s="9">
        <f t="shared" si="0"/>
        <v>1</v>
      </c>
      <c r="L11" s="9">
        <f t="shared" si="1"/>
        <v>1</v>
      </c>
      <c r="M11" s="9">
        <f t="shared" si="2"/>
        <v>0</v>
      </c>
      <c r="N11" s="9">
        <f t="shared" si="3"/>
        <v>0</v>
      </c>
      <c r="O11" s="9">
        <f t="shared" si="4"/>
        <v>0</v>
      </c>
      <c r="P11" s="9">
        <f t="shared" si="5"/>
        <v>2</v>
      </c>
    </row>
    <row r="12" spans="1:16" x14ac:dyDescent="0.3">
      <c r="J12" s="9">
        <v>11</v>
      </c>
      <c r="K12" s="9">
        <f t="shared" si="0"/>
        <v>0</v>
      </c>
      <c r="L12" s="9">
        <f t="shared" si="1"/>
        <v>0</v>
      </c>
      <c r="M12" s="9">
        <f t="shared" si="2"/>
        <v>0</v>
      </c>
      <c r="N12" s="9">
        <f t="shared" si="3"/>
        <v>0</v>
      </c>
      <c r="O12" s="9">
        <f t="shared" si="4"/>
        <v>0</v>
      </c>
      <c r="P12" s="9">
        <f t="shared" si="5"/>
        <v>0</v>
      </c>
    </row>
    <row r="13" spans="1:16" x14ac:dyDescent="0.3">
      <c r="J13" s="10">
        <v>12</v>
      </c>
      <c r="K13" s="9">
        <f t="shared" si="0"/>
        <v>0</v>
      </c>
      <c r="L13" s="9">
        <f t="shared" si="1"/>
        <v>1</v>
      </c>
      <c r="M13" s="9">
        <f t="shared" si="2"/>
        <v>0</v>
      </c>
      <c r="N13" s="9">
        <f t="shared" si="3"/>
        <v>1</v>
      </c>
      <c r="O13" s="9">
        <f t="shared" si="4"/>
        <v>0</v>
      </c>
      <c r="P13" s="9">
        <f t="shared" si="5"/>
        <v>2</v>
      </c>
    </row>
    <row r="14" spans="1:16" x14ac:dyDescent="0.3">
      <c r="J14" s="12">
        <v>13</v>
      </c>
      <c r="K14" s="9">
        <f t="shared" si="0"/>
        <v>0</v>
      </c>
      <c r="L14" s="9">
        <f t="shared" si="1"/>
        <v>0</v>
      </c>
      <c r="M14" s="9">
        <f t="shared" si="2"/>
        <v>0</v>
      </c>
      <c r="N14" s="9">
        <f t="shared" si="3"/>
        <v>0</v>
      </c>
      <c r="O14" s="9">
        <f t="shared" si="4"/>
        <v>1</v>
      </c>
      <c r="P14" s="9">
        <f t="shared" si="5"/>
        <v>1</v>
      </c>
    </row>
    <row r="15" spans="1:16" x14ac:dyDescent="0.3">
      <c r="J15" s="9">
        <v>14</v>
      </c>
      <c r="K15" s="9">
        <f t="shared" si="0"/>
        <v>0</v>
      </c>
      <c r="L15" s="9">
        <f t="shared" si="1"/>
        <v>0</v>
      </c>
      <c r="M15" s="9">
        <f t="shared" si="2"/>
        <v>0</v>
      </c>
      <c r="N15" s="9">
        <f t="shared" si="3"/>
        <v>0</v>
      </c>
      <c r="O15" s="9">
        <f t="shared" si="4"/>
        <v>0</v>
      </c>
      <c r="P15" s="9">
        <f t="shared" si="5"/>
        <v>0</v>
      </c>
    </row>
    <row r="16" spans="1:16" x14ac:dyDescent="0.3">
      <c r="J16" s="9">
        <v>15</v>
      </c>
      <c r="K16" s="9">
        <f t="shared" si="0"/>
        <v>0</v>
      </c>
      <c r="L16" s="9">
        <f t="shared" si="1"/>
        <v>0</v>
      </c>
      <c r="M16" s="9">
        <f t="shared" si="2"/>
        <v>0</v>
      </c>
      <c r="N16" s="9">
        <f t="shared" si="3"/>
        <v>0</v>
      </c>
      <c r="O16" s="9">
        <f t="shared" si="4"/>
        <v>0</v>
      </c>
      <c r="P16" s="9">
        <f t="shared" si="5"/>
        <v>0</v>
      </c>
    </row>
    <row r="17" spans="10:16" x14ac:dyDescent="0.3">
      <c r="J17" s="12">
        <v>16</v>
      </c>
      <c r="K17" s="9">
        <f t="shared" si="0"/>
        <v>1</v>
      </c>
      <c r="L17" s="9">
        <f t="shared" si="1"/>
        <v>0</v>
      </c>
      <c r="M17" s="9">
        <f t="shared" si="2"/>
        <v>0</v>
      </c>
      <c r="N17" s="9">
        <f t="shared" si="3"/>
        <v>0</v>
      </c>
      <c r="O17" s="9">
        <f t="shared" si="4"/>
        <v>0</v>
      </c>
      <c r="P17" s="9">
        <f t="shared" si="5"/>
        <v>1</v>
      </c>
    </row>
    <row r="18" spans="10:16" x14ac:dyDescent="0.3">
      <c r="J18" s="9">
        <v>17</v>
      </c>
      <c r="K18" s="9">
        <f t="shared" si="0"/>
        <v>0</v>
      </c>
      <c r="L18" s="9">
        <f t="shared" si="1"/>
        <v>0</v>
      </c>
      <c r="M18" s="9">
        <f t="shared" si="2"/>
        <v>0</v>
      </c>
      <c r="N18" s="9">
        <f t="shared" si="3"/>
        <v>0</v>
      </c>
      <c r="O18" s="9">
        <f t="shared" si="4"/>
        <v>0</v>
      </c>
      <c r="P18" s="9">
        <f t="shared" si="5"/>
        <v>0</v>
      </c>
    </row>
    <row r="19" spans="10:16" x14ac:dyDescent="0.3">
      <c r="J19" s="12">
        <v>18</v>
      </c>
      <c r="K19" s="9">
        <f t="shared" si="0"/>
        <v>0</v>
      </c>
      <c r="L19" s="9">
        <f t="shared" si="1"/>
        <v>0</v>
      </c>
      <c r="M19" s="9">
        <f t="shared" si="2"/>
        <v>1</v>
      </c>
      <c r="N19" s="9">
        <f t="shared" si="3"/>
        <v>0</v>
      </c>
      <c r="O19" s="9">
        <f t="shared" si="4"/>
        <v>0</v>
      </c>
      <c r="P19" s="9">
        <f t="shared" si="5"/>
        <v>1</v>
      </c>
    </row>
    <row r="20" spans="10:16" x14ac:dyDescent="0.3">
      <c r="J20" s="9">
        <v>19</v>
      </c>
      <c r="K20" s="9">
        <f t="shared" si="0"/>
        <v>0</v>
      </c>
      <c r="L20" s="9">
        <f t="shared" si="1"/>
        <v>0</v>
      </c>
      <c r="M20" s="9">
        <f t="shared" si="2"/>
        <v>0</v>
      </c>
      <c r="N20" s="9">
        <f t="shared" si="3"/>
        <v>0</v>
      </c>
      <c r="O20" s="9">
        <f t="shared" si="4"/>
        <v>0</v>
      </c>
      <c r="P20" s="9">
        <f t="shared" si="5"/>
        <v>0</v>
      </c>
    </row>
    <row r="21" spans="10:16" x14ac:dyDescent="0.3">
      <c r="J21" s="12">
        <v>20</v>
      </c>
      <c r="K21" s="9">
        <f t="shared" si="0"/>
        <v>0</v>
      </c>
      <c r="L21" s="9">
        <f t="shared" si="1"/>
        <v>0</v>
      </c>
      <c r="M21" s="9">
        <f t="shared" si="2"/>
        <v>0</v>
      </c>
      <c r="N21" s="9">
        <f t="shared" si="3"/>
        <v>0</v>
      </c>
      <c r="O21" s="9">
        <f t="shared" si="4"/>
        <v>1</v>
      </c>
      <c r="P21" s="9">
        <f t="shared" si="5"/>
        <v>1</v>
      </c>
    </row>
    <row r="22" spans="10:16" x14ac:dyDescent="0.3">
      <c r="J22" s="12">
        <v>21</v>
      </c>
      <c r="K22" s="9">
        <f t="shared" si="0"/>
        <v>1</v>
      </c>
      <c r="L22" s="9">
        <f t="shared" si="1"/>
        <v>0</v>
      </c>
      <c r="M22" s="9">
        <f t="shared" si="2"/>
        <v>0</v>
      </c>
      <c r="N22" s="9">
        <f t="shared" si="3"/>
        <v>0</v>
      </c>
      <c r="O22" s="9">
        <f t="shared" si="4"/>
        <v>0</v>
      </c>
      <c r="P22" s="9">
        <f t="shared" si="5"/>
        <v>1</v>
      </c>
    </row>
    <row r="23" spans="10:16" x14ac:dyDescent="0.3">
      <c r="J23" s="9">
        <v>22</v>
      </c>
      <c r="K23" s="9">
        <f t="shared" si="0"/>
        <v>0</v>
      </c>
      <c r="L23" s="9">
        <f t="shared" si="1"/>
        <v>0</v>
      </c>
      <c r="M23" s="9">
        <f t="shared" si="2"/>
        <v>0</v>
      </c>
      <c r="N23" s="9">
        <f t="shared" si="3"/>
        <v>0</v>
      </c>
      <c r="O23" s="9">
        <f t="shared" si="4"/>
        <v>0</v>
      </c>
      <c r="P23" s="9">
        <f t="shared" si="5"/>
        <v>0</v>
      </c>
    </row>
    <row r="24" spans="10:16" x14ac:dyDescent="0.3">
      <c r="J24" s="10">
        <v>23</v>
      </c>
      <c r="K24" s="9">
        <f t="shared" si="0"/>
        <v>0</v>
      </c>
      <c r="L24" s="9">
        <f t="shared" si="1"/>
        <v>0</v>
      </c>
      <c r="M24" s="9">
        <f t="shared" si="2"/>
        <v>1</v>
      </c>
      <c r="N24" s="9">
        <f t="shared" si="3"/>
        <v>1</v>
      </c>
      <c r="O24" s="9">
        <f t="shared" si="4"/>
        <v>0</v>
      </c>
      <c r="P24" s="9">
        <f t="shared" si="5"/>
        <v>2</v>
      </c>
    </row>
    <row r="25" spans="10:16" x14ac:dyDescent="0.3">
      <c r="J25" s="9">
        <v>24</v>
      </c>
      <c r="K25" s="9">
        <f t="shared" si="0"/>
        <v>0</v>
      </c>
      <c r="L25" s="9">
        <f t="shared" si="1"/>
        <v>0</v>
      </c>
      <c r="M25" s="9">
        <f t="shared" si="2"/>
        <v>0</v>
      </c>
      <c r="N25" s="9">
        <f t="shared" si="3"/>
        <v>0</v>
      </c>
      <c r="O25" s="9">
        <f t="shared" si="4"/>
        <v>0</v>
      </c>
      <c r="P25" s="9">
        <f t="shared" si="5"/>
        <v>0</v>
      </c>
    </row>
    <row r="26" spans="10:16" x14ac:dyDescent="0.3">
      <c r="J26" s="9">
        <v>25</v>
      </c>
      <c r="K26" s="9">
        <f t="shared" si="0"/>
        <v>0</v>
      </c>
      <c r="L26" s="9">
        <f t="shared" si="1"/>
        <v>0</v>
      </c>
      <c r="M26" s="9">
        <f t="shared" si="2"/>
        <v>0</v>
      </c>
      <c r="N26" s="9">
        <f t="shared" si="3"/>
        <v>0</v>
      </c>
      <c r="O26" s="9">
        <f t="shared" si="4"/>
        <v>0</v>
      </c>
      <c r="P26" s="9">
        <f t="shared" si="5"/>
        <v>0</v>
      </c>
    </row>
    <row r="27" spans="10:16" x14ac:dyDescent="0.3">
      <c r="J27" s="12">
        <v>26</v>
      </c>
      <c r="K27" s="9">
        <f t="shared" si="0"/>
        <v>0</v>
      </c>
      <c r="L27" s="9">
        <f t="shared" si="1"/>
        <v>0</v>
      </c>
      <c r="M27" s="9">
        <f t="shared" si="2"/>
        <v>0</v>
      </c>
      <c r="N27" s="9">
        <f t="shared" si="3"/>
        <v>0</v>
      </c>
      <c r="O27" s="9">
        <f t="shared" si="4"/>
        <v>1</v>
      </c>
      <c r="P27" s="9">
        <f t="shared" si="5"/>
        <v>1</v>
      </c>
    </row>
    <row r="28" spans="10:16" x14ac:dyDescent="0.3">
      <c r="J28" s="10">
        <v>27</v>
      </c>
      <c r="K28" s="9">
        <f t="shared" si="0"/>
        <v>1</v>
      </c>
      <c r="L28" s="9">
        <f t="shared" si="1"/>
        <v>1</v>
      </c>
      <c r="M28" s="9">
        <f t="shared" si="2"/>
        <v>0</v>
      </c>
      <c r="N28" s="9">
        <f t="shared" si="3"/>
        <v>0</v>
      </c>
      <c r="O28" s="9">
        <f t="shared" si="4"/>
        <v>0</v>
      </c>
      <c r="P28" s="9">
        <f t="shared" si="5"/>
        <v>2</v>
      </c>
    </row>
    <row r="29" spans="10:16" x14ac:dyDescent="0.3">
      <c r="J29" s="9">
        <v>28</v>
      </c>
      <c r="K29" s="9">
        <f t="shared" si="0"/>
        <v>0</v>
      </c>
      <c r="L29" s="9">
        <f t="shared" si="1"/>
        <v>0</v>
      </c>
      <c r="M29" s="9">
        <f t="shared" si="2"/>
        <v>0</v>
      </c>
      <c r="N29" s="9">
        <f t="shared" si="3"/>
        <v>0</v>
      </c>
      <c r="O29" s="9">
        <f t="shared" si="4"/>
        <v>0</v>
      </c>
      <c r="P29" s="9">
        <f t="shared" si="5"/>
        <v>0</v>
      </c>
    </row>
    <row r="30" spans="10:16" x14ac:dyDescent="0.3">
      <c r="J30" s="9">
        <v>29</v>
      </c>
      <c r="K30" s="9">
        <f t="shared" si="0"/>
        <v>0</v>
      </c>
      <c r="L30" s="9">
        <f t="shared" si="1"/>
        <v>0</v>
      </c>
      <c r="M30" s="9">
        <f t="shared" si="2"/>
        <v>0</v>
      </c>
      <c r="N30" s="9">
        <f t="shared" si="3"/>
        <v>0</v>
      </c>
      <c r="O30" s="9">
        <f t="shared" si="4"/>
        <v>0</v>
      </c>
      <c r="P30" s="9">
        <f t="shared" si="5"/>
        <v>0</v>
      </c>
    </row>
    <row r="31" spans="10:16" x14ac:dyDescent="0.3">
      <c r="J31" s="12">
        <v>30</v>
      </c>
      <c r="K31" s="9">
        <f t="shared" si="0"/>
        <v>0</v>
      </c>
      <c r="L31" s="9">
        <f t="shared" si="1"/>
        <v>1</v>
      </c>
      <c r="M31" s="9">
        <f t="shared" si="2"/>
        <v>0</v>
      </c>
      <c r="N31" s="9">
        <f t="shared" si="3"/>
        <v>0</v>
      </c>
      <c r="O31" s="9">
        <f t="shared" si="4"/>
        <v>0</v>
      </c>
      <c r="P31" s="9">
        <f t="shared" si="5"/>
        <v>1</v>
      </c>
    </row>
    <row r="32" spans="10:16" x14ac:dyDescent="0.3">
      <c r="J32" s="10">
        <v>31</v>
      </c>
      <c r="K32" s="9">
        <f t="shared" si="0"/>
        <v>0</v>
      </c>
      <c r="L32" s="9">
        <f t="shared" si="1"/>
        <v>0</v>
      </c>
      <c r="M32" s="9">
        <f t="shared" si="2"/>
        <v>1</v>
      </c>
      <c r="N32" s="9">
        <f t="shared" si="3"/>
        <v>1</v>
      </c>
      <c r="O32" s="9">
        <f t="shared" si="4"/>
        <v>0</v>
      </c>
      <c r="P32" s="9">
        <f t="shared" si="5"/>
        <v>2</v>
      </c>
    </row>
    <row r="33" spans="10:16" x14ac:dyDescent="0.3">
      <c r="J33" s="9">
        <v>32</v>
      </c>
      <c r="K33" s="9">
        <f t="shared" si="0"/>
        <v>0</v>
      </c>
      <c r="L33" s="9">
        <f t="shared" si="1"/>
        <v>0</v>
      </c>
      <c r="M33" s="9">
        <f t="shared" si="2"/>
        <v>0</v>
      </c>
      <c r="N33" s="9">
        <f t="shared" si="3"/>
        <v>0</v>
      </c>
      <c r="O33" s="9">
        <f t="shared" si="4"/>
        <v>0</v>
      </c>
      <c r="P33" s="9">
        <f t="shared" si="5"/>
        <v>0</v>
      </c>
    </row>
    <row r="34" spans="10:16" x14ac:dyDescent="0.3">
      <c r="J34" s="12">
        <v>33</v>
      </c>
      <c r="K34" s="9">
        <f t="shared" si="0"/>
        <v>0</v>
      </c>
      <c r="L34" s="9">
        <f t="shared" si="1"/>
        <v>0</v>
      </c>
      <c r="M34" s="9">
        <f t="shared" si="2"/>
        <v>0</v>
      </c>
      <c r="N34" s="9">
        <f t="shared" si="3"/>
        <v>0</v>
      </c>
      <c r="O34" s="9">
        <f t="shared" si="4"/>
        <v>1</v>
      </c>
      <c r="P34" s="9">
        <f t="shared" si="5"/>
        <v>1</v>
      </c>
    </row>
    <row r="35" spans="10:16" x14ac:dyDescent="0.3">
      <c r="J35" s="9">
        <v>34</v>
      </c>
      <c r="K35" s="9">
        <f t="shared" si="0"/>
        <v>0</v>
      </c>
      <c r="L35" s="9">
        <f t="shared" si="1"/>
        <v>0</v>
      </c>
      <c r="M35" s="9">
        <f t="shared" si="2"/>
        <v>0</v>
      </c>
      <c r="N35" s="9">
        <f t="shared" si="3"/>
        <v>0</v>
      </c>
      <c r="O35" s="9">
        <f t="shared" si="4"/>
        <v>0</v>
      </c>
      <c r="P35" s="9">
        <f t="shared" si="5"/>
        <v>0</v>
      </c>
    </row>
    <row r="36" spans="10:16" x14ac:dyDescent="0.3">
      <c r="J36" s="9">
        <v>35</v>
      </c>
      <c r="K36" s="9">
        <f t="shared" si="0"/>
        <v>0</v>
      </c>
      <c r="L36" s="9">
        <f t="shared" si="1"/>
        <v>0</v>
      </c>
      <c r="M36" s="9">
        <f t="shared" si="2"/>
        <v>0</v>
      </c>
      <c r="N36" s="9">
        <f t="shared" si="3"/>
        <v>0</v>
      </c>
      <c r="O36" s="9">
        <f t="shared" si="4"/>
        <v>0</v>
      </c>
      <c r="P36" s="9">
        <f t="shared" si="5"/>
        <v>0</v>
      </c>
    </row>
    <row r="37" spans="10:16" x14ac:dyDescent="0.3">
      <c r="J37" s="12">
        <v>36</v>
      </c>
      <c r="K37" s="9">
        <f t="shared" si="0"/>
        <v>1</v>
      </c>
      <c r="L37" s="9">
        <f t="shared" si="1"/>
        <v>0</v>
      </c>
      <c r="M37" s="9">
        <f t="shared" si="2"/>
        <v>0</v>
      </c>
      <c r="N37" s="9">
        <f t="shared" si="3"/>
        <v>0</v>
      </c>
      <c r="O37" s="9">
        <f t="shared" si="4"/>
        <v>0</v>
      </c>
      <c r="P37" s="9">
        <f t="shared" si="5"/>
        <v>1</v>
      </c>
    </row>
    <row r="38" spans="10:16" x14ac:dyDescent="0.3">
      <c r="J38" s="9">
        <v>37</v>
      </c>
      <c r="K38" s="9">
        <f t="shared" si="0"/>
        <v>0</v>
      </c>
      <c r="L38" s="9">
        <f t="shared" si="1"/>
        <v>0</v>
      </c>
      <c r="M38" s="9">
        <f t="shared" si="2"/>
        <v>0</v>
      </c>
      <c r="N38" s="9">
        <f t="shared" si="3"/>
        <v>0</v>
      </c>
      <c r="O38" s="9">
        <f t="shared" si="4"/>
        <v>0</v>
      </c>
      <c r="P38" s="9">
        <f t="shared" si="5"/>
        <v>0</v>
      </c>
    </row>
    <row r="39" spans="10:16" x14ac:dyDescent="0.3">
      <c r="J39" s="12">
        <v>38</v>
      </c>
      <c r="K39" s="9">
        <f t="shared" si="0"/>
        <v>0</v>
      </c>
      <c r="L39" s="9">
        <f t="shared" si="1"/>
        <v>0</v>
      </c>
      <c r="M39" s="9">
        <f t="shared" si="2"/>
        <v>0</v>
      </c>
      <c r="N39" s="9">
        <f t="shared" si="3"/>
        <v>1</v>
      </c>
      <c r="O39" s="9">
        <f t="shared" si="4"/>
        <v>0</v>
      </c>
      <c r="P39" s="9">
        <f t="shared" si="5"/>
        <v>1</v>
      </c>
    </row>
    <row r="40" spans="10:16" x14ac:dyDescent="0.3">
      <c r="J40" s="12">
        <v>39</v>
      </c>
      <c r="K40" s="9">
        <f t="shared" si="0"/>
        <v>0</v>
      </c>
      <c r="L40" s="9">
        <f t="shared" si="1"/>
        <v>0</v>
      </c>
      <c r="M40" s="9">
        <f t="shared" si="2"/>
        <v>1</v>
      </c>
      <c r="N40" s="9">
        <f t="shared" si="3"/>
        <v>0</v>
      </c>
      <c r="O40" s="9">
        <f t="shared" si="4"/>
        <v>0</v>
      </c>
      <c r="P40" s="9">
        <f t="shared" si="5"/>
        <v>1</v>
      </c>
    </row>
    <row r="41" spans="10:16" x14ac:dyDescent="0.3">
      <c r="J41" s="9">
        <v>40</v>
      </c>
      <c r="K41" s="9">
        <f t="shared" si="0"/>
        <v>0</v>
      </c>
      <c r="L41" s="9">
        <f t="shared" si="1"/>
        <v>0</v>
      </c>
      <c r="M41" s="9">
        <f t="shared" si="2"/>
        <v>0</v>
      </c>
      <c r="N41" s="9">
        <f t="shared" si="3"/>
        <v>0</v>
      </c>
      <c r="O41" s="9">
        <f t="shared" si="4"/>
        <v>0</v>
      </c>
      <c r="P41" s="9">
        <f t="shared" si="5"/>
        <v>0</v>
      </c>
    </row>
    <row r="42" spans="10:16" x14ac:dyDescent="0.3">
      <c r="J42" s="12">
        <v>41</v>
      </c>
      <c r="K42" s="9">
        <f t="shared" si="0"/>
        <v>0</v>
      </c>
      <c r="L42" s="9">
        <f t="shared" si="1"/>
        <v>0</v>
      </c>
      <c r="M42" s="9">
        <f t="shared" si="2"/>
        <v>0</v>
      </c>
      <c r="N42" s="9">
        <f t="shared" si="3"/>
        <v>0</v>
      </c>
      <c r="O42" s="9">
        <f t="shared" si="4"/>
        <v>1</v>
      </c>
      <c r="P42" s="9">
        <f t="shared" si="5"/>
        <v>1</v>
      </c>
    </row>
    <row r="43" spans="10:16" x14ac:dyDescent="0.3">
      <c r="J43" s="9">
        <v>42</v>
      </c>
      <c r="K43" s="9">
        <f t="shared" si="0"/>
        <v>0</v>
      </c>
      <c r="L43" s="9">
        <f t="shared" si="1"/>
        <v>0</v>
      </c>
      <c r="M43" s="9">
        <f t="shared" si="2"/>
        <v>0</v>
      </c>
      <c r="N43" s="9">
        <f t="shared" si="3"/>
        <v>0</v>
      </c>
      <c r="O43" s="9">
        <f t="shared" si="4"/>
        <v>0</v>
      </c>
      <c r="P43" s="9">
        <f t="shared" si="5"/>
        <v>0</v>
      </c>
    </row>
    <row r="44" spans="10:16" x14ac:dyDescent="0.3">
      <c r="J44" s="12">
        <v>43</v>
      </c>
      <c r="K44" s="9">
        <f t="shared" si="0"/>
        <v>0</v>
      </c>
      <c r="L44" s="9">
        <f t="shared" si="1"/>
        <v>0</v>
      </c>
      <c r="M44" s="9">
        <f t="shared" si="2"/>
        <v>0</v>
      </c>
      <c r="N44" s="9">
        <f t="shared" si="3"/>
        <v>1</v>
      </c>
      <c r="O44" s="9">
        <f t="shared" si="4"/>
        <v>0</v>
      </c>
      <c r="P44" s="9">
        <f t="shared" si="5"/>
        <v>1</v>
      </c>
    </row>
    <row r="45" spans="10:16" x14ac:dyDescent="0.3">
      <c r="J45" s="9">
        <v>44</v>
      </c>
      <c r="K45" s="9">
        <f t="shared" si="0"/>
        <v>0</v>
      </c>
      <c r="L45" s="9">
        <f t="shared" si="1"/>
        <v>0</v>
      </c>
      <c r="M45" s="9">
        <f t="shared" si="2"/>
        <v>0</v>
      </c>
      <c r="N45" s="9">
        <f t="shared" si="3"/>
        <v>0</v>
      </c>
      <c r="O45" s="9">
        <f t="shared" si="4"/>
        <v>0</v>
      </c>
      <c r="P45" s="9">
        <f t="shared" si="5"/>
        <v>0</v>
      </c>
    </row>
    <row r="46" spans="10:16" x14ac:dyDescent="0.3">
      <c r="J46" s="11">
        <v>45</v>
      </c>
      <c r="K46" s="9">
        <f t="shared" si="0"/>
        <v>0</v>
      </c>
      <c r="L46" s="9">
        <f t="shared" si="1"/>
        <v>2</v>
      </c>
      <c r="M46" s="9">
        <f t="shared" si="2"/>
        <v>0</v>
      </c>
      <c r="N46" s="9">
        <f t="shared" si="3"/>
        <v>1</v>
      </c>
      <c r="O46" s="9">
        <f t="shared" si="4"/>
        <v>0</v>
      </c>
      <c r="P46" s="9">
        <f t="shared" si="5"/>
        <v>3</v>
      </c>
    </row>
  </sheetData>
  <autoFilter ref="J1:P46" xr:uid="{46A9A35F-1434-4E4E-BA0D-6611E712CADE}"/>
  <sortState xmlns:xlrd2="http://schemas.microsoft.com/office/spreadsheetml/2017/richdata2" ref="J2:J7">
    <sortCondition ref="J2:J7"/>
  </sortState>
  <phoneticPr fontId="1" type="noConversion"/>
  <conditionalFormatting sqref="K2:P4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2024-03-27T05:40:13Z</dcterms:created>
  <dcterms:modified xsi:type="dcterms:W3CDTF">2024-03-28T11:41:25Z</dcterms:modified>
</cp:coreProperties>
</file>